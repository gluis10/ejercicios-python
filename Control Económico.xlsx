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71343640-F419-4700-809C-62BD3A8E0FEA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Septie2025" sheetId="1" r:id="rId1"/>
    <sheet name="Octub2025" sheetId="3" r:id="rId2"/>
    <sheet name="Noviem2025" sheetId="4" r:id="rId3"/>
    <sheet name="Diciem2025" sheetId="7" r:id="rId4"/>
    <sheet name="Ene2026" sheetId="8" r:id="rId5"/>
    <sheet name="Presupuesto 2026" sheetId="9" r:id="rId6"/>
    <sheet name="PresupV1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8" l="1"/>
  <c r="I30" i="8" s="1"/>
  <c r="H10" i="11"/>
  <c r="H6" i="11"/>
  <c r="H7" i="11" s="1"/>
  <c r="H8" i="11" s="1"/>
  <c r="H9" i="11" s="1"/>
  <c r="H5" i="11"/>
  <c r="H4" i="11"/>
  <c r="F10" i="11"/>
  <c r="F6" i="11"/>
  <c r="F7" i="11" s="1"/>
  <c r="F8" i="11" s="1"/>
  <c r="F9" i="11" s="1"/>
  <c r="F5" i="11"/>
  <c r="F4" i="11"/>
  <c r="C7" i="9"/>
  <c r="D6" i="9"/>
  <c r="D5" i="9"/>
  <c r="F36" i="8"/>
  <c r="E4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D4" i="7"/>
  <c r="E31" i="7"/>
  <c r="E36" i="4"/>
  <c r="D4" i="4"/>
  <c r="E40" i="3"/>
  <c r="D4" i="3"/>
  <c r="E18" i="1"/>
  <c r="D4" i="1"/>
  <c r="H31" i="7" l="1"/>
  <c r="D32" i="7" s="1"/>
  <c r="I36" i="8"/>
  <c r="E37" i="8" s="1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36" i="4"/>
  <c r="D37" i="4" s="1"/>
  <c r="H40" i="3"/>
  <c r="D41" i="3" s="1"/>
  <c r="H18" i="1"/>
  <c r="D19" i="1" s="1"/>
  <c r="H17" i="7" l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</calcChain>
</file>

<file path=xl/sharedStrings.xml><?xml version="1.0" encoding="utf-8"?>
<sst xmlns="http://schemas.openxmlformats.org/spreadsheetml/2006/main" count="248" uniqueCount="154">
  <si>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</si>
  <si>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</si>
  <si>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</si>
  <si>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</si>
  <si>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</si>
  <si>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</si>
  <si>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</si>
  <si>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</si>
  <si>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</si>
  <si>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</si>
  <si>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</si>
  <si>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</si>
  <si>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</si>
  <si>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</si>
  <si>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</si>
  <si>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</si>
  <si>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</si>
  <si>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</si>
  <si>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</si>
  <si>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</si>
  <si>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</si>
  <si>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</si>
  <si>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</si>
  <si>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</si>
  <si>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</si>
  <si>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</si>
  <si>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</si>
  <si>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</si>
  <si>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</si>
  <si>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</si>
  <si>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</si>
  <si>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</si>
  <si>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</si>
  <si>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</si>
  <si>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</si>
  <si>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</si>
  <si>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</si>
  <si>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</si>
  <si>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</si>
  <si>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</si>
  <si>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</si>
  <si>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</si>
  <si>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</si>
  <si>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</si>
  <si>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</si>
  <si>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</si>
  <si>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</si>
  <si>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</si>
  <si>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</si>
  <si>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</si>
  <si>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</si>
  <si>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</si>
  <si>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</si>
  <si>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</si>
  <si>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</si>
  <si>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</si>
  <si>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</si>
  <si>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</si>
  <si>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</si>
  <si>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</si>
  <si>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</si>
  <si>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</si>
  <si>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</si>
  <si>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</si>
  <si>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</si>
  <si>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</si>
  <si>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</si>
  <si>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</si>
  <si>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</si>
  <si>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</si>
  <si>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</si>
  <si>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</si>
  <si>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</si>
  <si>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</si>
  <si>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</si>
  <si>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</si>
  <si>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</si>
  <si>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</si>
  <si>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</si>
  <si>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</si>
  <si>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</si>
  <si>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</si>
  <si>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</si>
  <si>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</si>
  <si>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</si>
  <si>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</si>
  <si>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</si>
  <si>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</si>
  <si>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</si>
  <si>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</si>
  <si>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</si>
  <si>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</si>
  <si>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</si>
  <si>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</si>
  <si>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</si>
  <si>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</si>
  <si>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</si>
  <si>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</si>
  <si>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</si>
  <si>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</si>
  <si>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</si>
  <si>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</si>
  <si>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</si>
  <si>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</si>
  <si>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</si>
  <si>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</si>
  <si>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</si>
  <si>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</si>
  <si>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</si>
  <si>
    <t>Retrovisor derecho</t>
  </si>
  <si>
    <t>En cuenta de (Ahorro mas Monetaria)</t>
  </si>
  <si>
    <t xml:space="preserve">Enderazado y armado de Moto </t>
  </si>
  <si>
    <t>Base y barra de Moto (Repuesto)</t>
  </si>
  <si>
    <t>2da-15cena diciembre 2025</t>
  </si>
  <si>
    <t>pendiente</t>
  </si>
  <si>
    <t>1ra-15cena enero 2026</t>
  </si>
  <si>
    <t>Totol gastado</t>
  </si>
  <si>
    <t>Extra Random</t>
  </si>
  <si>
    <t>FECHA DE ENVÍO</t>
  </si>
  <si>
    <t>Matrícula de Universidad</t>
  </si>
  <si>
    <t>FECHA DE PAGO</t>
  </si>
  <si>
    <t>CANTIDAD</t>
  </si>
  <si>
    <t>Mensualidad - Enero</t>
  </si>
  <si>
    <t>SUMATORIA</t>
  </si>
  <si>
    <t>Renta de casa</t>
  </si>
  <si>
    <t>Total enero</t>
  </si>
  <si>
    <t>CRÉDITO</t>
  </si>
  <si>
    <t>Pago de Universidad</t>
  </si>
  <si>
    <t>DÉBITO MENSUAL</t>
  </si>
  <si>
    <t>Combustible mensual</t>
  </si>
  <si>
    <t>Gastos para comidad mensual</t>
  </si>
  <si>
    <t>Pago de Internet Movil</t>
  </si>
  <si>
    <t>Pago Mensual</t>
  </si>
  <si>
    <t>Gatos extras</t>
  </si>
  <si>
    <t>PRESUPUESTO MENSUAL 2026</t>
  </si>
  <si>
    <t>SALDO SOBRANTE</t>
  </si>
  <si>
    <t>Para gastos del trabajo y otros</t>
  </si>
  <si>
    <t>Aporte convivio navideño</t>
  </si>
  <si>
    <t xml:space="preserve">Cable para clohs </t>
  </si>
  <si>
    <t xml:space="preserve">Led de moto </t>
  </si>
  <si>
    <t>Colección de carros (G9)</t>
  </si>
  <si>
    <t>Cortina para ventana (G9)</t>
  </si>
  <si>
    <t>Gasolina de moto semanal</t>
  </si>
  <si>
    <t>Creí que ya había pagado cable clohs</t>
  </si>
  <si>
    <t>Compras de higiene personal</t>
  </si>
  <si>
    <t xml:space="preserve">Pendiente </t>
  </si>
  <si>
    <t>Gasolina (Vier, Sab, Dom)</t>
  </si>
  <si>
    <t>Piezas de pollo (Almuerzo)</t>
  </si>
  <si>
    <t>Renovación de Beca</t>
  </si>
  <si>
    <t>Pago matrícula de Universidad</t>
  </si>
  <si>
    <t>Super del Barrio</t>
  </si>
  <si>
    <t>Netflix del Mes</t>
  </si>
  <si>
    <t>Instalación de luz led a moto</t>
  </si>
  <si>
    <t>Desparacitante, Sucrol, Vital Fuerta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</si>
</sst>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164" fontId="4" fillId="0" borderId="0" xfId="0" applyNumberFormat="1" applyFont="1" applyAlignment="1">
      <alignment horizontal="right" wrapText="1"/>
    </xf>
    <xf numFmtId="164" fontId="0" fillId="0" borderId="1" xfId="0" applyNumberFormat="1" applyBorder="1"/>
    <xf numFmtId="164" fontId="2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/>
    <xf numFmtId="16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9B58A-F89F-495A-9616-A935D88CE666}">
  <dimension ref="B2:X105"/>
  <sheetViews>
    <sheetView workbookViewId="0">
      <selection activeCell="G25" sqref="G2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33" t="s">
        <v>0</v>
      </c>
      <c r="C2" s="33"/>
      <c r="D2" s="33"/>
      <c r="E2" s="33"/>
      <c r="F2" s="33"/>
      <c r="G2" s="33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45991</v>
      </c>
      <c r="H4" s="6">
        <f>(D4-E4)</f>
        <v>6235.9</v>
      </c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>
        <f>H4-E5</f>
        <v>6135.9</v>
      </c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>
        <f t="shared" ref="H6:H30" si="0">H5-E6</f>
        <v>6035.9</v>
      </c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91</v>
      </c>
      <c r="G7" s="9">
        <v>46031</v>
      </c>
      <c r="H7" s="6">
        <f t="shared" si="0"/>
        <v>5820.9</v>
      </c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94</v>
      </c>
      <c r="D8" s="8"/>
      <c r="E8" s="7">
        <v>100</v>
      </c>
      <c r="F8" s="8" t="s">
        <v>92</v>
      </c>
      <c r="G8" s="9">
        <v>46032</v>
      </c>
      <c r="H8" s="6">
        <f t="shared" si="0"/>
        <v>5720.9</v>
      </c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93</v>
      </c>
      <c r="G9" s="9">
        <v>46033</v>
      </c>
      <c r="H9" s="6">
        <f t="shared" si="0"/>
        <v>5680.9</v>
      </c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>
        <f t="shared" si="0"/>
        <v>5630.9</v>
      </c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>
        <f t="shared" si="0"/>
        <v>5600.9</v>
      </c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>
        <f t="shared" si="0"/>
        <v>5500.9</v>
      </c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95</v>
      </c>
      <c r="G13" s="9">
        <v>46371</v>
      </c>
      <c r="H13" s="6">
        <f>H12-E13</f>
        <v>5460.9</v>
      </c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96</v>
      </c>
      <c r="G14" s="9">
        <v>46373</v>
      </c>
      <c r="H14" s="6">
        <f t="shared" si="0"/>
        <v>5410.9</v>
      </c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>
        <f t="shared" si="0"/>
        <v>5160.8999999999996</v>
      </c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99</v>
      </c>
      <c r="G16" s="9">
        <v>46371</v>
      </c>
      <c r="H16" s="6">
        <f t="shared" si="0"/>
        <v>5130.8999999999996</v>
      </c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98</v>
      </c>
      <c r="G17" s="9">
        <v>46371</v>
      </c>
      <c r="H17" s="6">
        <f>H16-E17</f>
        <v>5090.8999999999996</v>
      </c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97</v>
      </c>
      <c r="G18" s="9">
        <v>46376</v>
      </c>
      <c r="H18" s="6">
        <f t="shared" si="0"/>
        <v>4065.8999999999996</v>
      </c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100</v>
      </c>
      <c r="G19" s="9">
        <v>46376</v>
      </c>
      <c r="H19" s="6">
        <f t="shared" si="0"/>
        <v>4025.8999999999996</v>
      </c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>
        <f t="shared" si="0"/>
        <v>3925.8999999999996</v>
      </c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101</v>
      </c>
      <c r="G21" s="9">
        <v>46013</v>
      </c>
      <c r="H21" s="6">
        <f>H20-E21</f>
        <v>3850.8999999999996</v>
      </c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102</v>
      </c>
      <c r="G22" s="9">
        <v>46013</v>
      </c>
      <c r="H22" s="6">
        <f t="shared" si="0"/>
        <v>3620.8999999999996</v>
      </c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103</v>
      </c>
      <c r="G23" s="9">
        <v>46013</v>
      </c>
      <c r="H23" s="6">
        <f t="shared" si="0"/>
        <v>3505.8999999999996</v>
      </c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104</v>
      </c>
      <c r="G24" s="9">
        <v>46014</v>
      </c>
      <c r="H24" s="6">
        <f t="shared" si="0"/>
        <v>3205.8999999999996</v>
      </c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650</v>
      </c>
      <c r="F25" s="8" t="s">
        <v>111</v>
      </c>
      <c r="G25" s="9">
        <v>46019</v>
      </c>
      <c r="H25" s="6">
        <f t="shared" si="0"/>
        <v>2555.8999999999996</v>
      </c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250</v>
      </c>
      <c r="F26" s="8" t="s">
        <v>112</v>
      </c>
      <c r="G26" s="9">
        <v>46019</v>
      </c>
      <c r="H26" s="6">
        <f t="shared" si="0"/>
        <v>2305.8999999999996</v>
      </c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30</v>
      </c>
      <c r="F27" s="8" t="s">
        <v>105</v>
      </c>
      <c r="G27" s="9">
        <v>46020</v>
      </c>
      <c r="H27" s="6">
        <f t="shared" si="0"/>
        <v>2275.8999999999996</v>
      </c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109</v>
      </c>
      <c r="G28" s="9">
        <v>46020</v>
      </c>
      <c r="H28" s="6">
        <f t="shared" si="0"/>
        <v>2175.8999999999996</v>
      </c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45</v>
      </c>
      <c r="F29" s="8" t="s">
        <v>108</v>
      </c>
      <c r="G29" s="9">
        <v>46021</v>
      </c>
      <c r="H29" s="6">
        <f t="shared" si="0"/>
        <v>2130.8999999999996</v>
      </c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40</v>
      </c>
      <c r="F30" s="8" t="s">
        <v>106</v>
      </c>
      <c r="G30" s="9">
        <v>46022</v>
      </c>
      <c r="H30" s="6">
        <f t="shared" si="0"/>
        <v>2090.8999999999996</v>
      </c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4255</v>
      </c>
      <c r="F31" s="6"/>
      <c r="G31" s="6"/>
      <c r="H31" s="22">
        <f>D4-E31</f>
        <v>2090.8999999999996</v>
      </c>
      <c r="I31" s="34" t="s">
        <v>110</v>
      </c>
      <c r="J31" s="34"/>
      <c r="K31" s="34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6345.9</v>
      </c>
      <c r="E32" s="6"/>
      <c r="F32" s="6"/>
      <c r="G32" s="6"/>
      <c r="H32" s="21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mergeCells count="2">
    <mergeCell ref="B2:H2"/>
    <mergeCell ref="I31:K31"/>
  </mergeCells>
  <pageMargins left="0.7" right="0.7" top="0.75" bottom="0.75" header="0.3" footer="0.3"/>
  <pageSetup paperSize="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96E7-8BBE-4BB1-B062-6F807BAF4D7C}">
  <dimension ref="B2:Y110"/>
  <sheetViews>
    <sheetView tabSelected="1" topLeftCell="A18" workbookViewId="0">
      <selection activeCell="G32" sqref="G32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style="1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3" t="s">
        <v>0</v>
      </c>
      <c r="C2" s="33"/>
      <c r="D2" s="33"/>
      <c r="E2" s="33"/>
      <c r="F2" s="33"/>
      <c r="G2" s="33"/>
      <c r="H2" s="33"/>
      <c r="I2" s="3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1915.98</v>
      </c>
      <c r="C4" s="6" t="s">
        <v>113</v>
      </c>
      <c r="D4" s="9">
        <v>46017</v>
      </c>
      <c r="E4" s="14">
        <f>SUM(B4:B9)</f>
        <v>6162.57</v>
      </c>
      <c r="F4" s="8">
        <v>30</v>
      </c>
      <c r="G4" s="8" t="s">
        <v>107</v>
      </c>
      <c r="H4" s="9">
        <v>46023</v>
      </c>
      <c r="I4" s="6">
        <f>(E4-F4)</f>
        <v>6132.57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2090.9</v>
      </c>
      <c r="C5" s="6" t="s">
        <v>18</v>
      </c>
      <c r="D5" s="9">
        <v>46024</v>
      </c>
      <c r="E5" s="8"/>
      <c r="F5" s="7">
        <v>150</v>
      </c>
      <c r="G5" s="8" t="s">
        <v>136</v>
      </c>
      <c r="H5" s="9">
        <v>46024</v>
      </c>
      <c r="I5" s="6">
        <f>I4-F5</f>
        <v>5982.57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20</v>
      </c>
      <c r="C6" s="6" t="s">
        <v>117</v>
      </c>
      <c r="D6" s="9">
        <v>46024</v>
      </c>
      <c r="E6" s="8"/>
      <c r="F6" s="7">
        <v>200</v>
      </c>
      <c r="G6" s="8" t="s">
        <v>137</v>
      </c>
      <c r="H6" s="9">
        <v>46025</v>
      </c>
      <c r="I6" s="6">
        <f>I5-F6</f>
        <v>5782.57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>
        <v>2135.69</v>
      </c>
      <c r="C7" s="6" t="s">
        <v>115</v>
      </c>
      <c r="D7" s="6"/>
      <c r="E7" s="8"/>
      <c r="F7" s="32">
        <v>50</v>
      </c>
      <c r="G7" s="8" t="s">
        <v>138</v>
      </c>
      <c r="H7" s="9">
        <v>46025</v>
      </c>
      <c r="I7" s="6">
        <f>I6-F7</f>
        <v>5732.57</v>
      </c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14.5" customHeight="1" x14ac:dyDescent="0.35">
      <c r="B8" s="13"/>
      <c r="C8" s="6"/>
      <c r="D8" s="6"/>
      <c r="E8" s="8"/>
      <c r="F8" s="7">
        <v>127</v>
      </c>
      <c r="G8" s="8" t="s">
        <v>139</v>
      </c>
      <c r="H8" s="9">
        <v>46025</v>
      </c>
      <c r="I8" s="6">
        <f t="shared" ref="I8:I14" si="0">I7-F8</f>
        <v>5605.57</v>
      </c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14.5" customHeight="1" x14ac:dyDescent="0.35">
      <c r="B9" s="6"/>
      <c r="C9" s="6"/>
      <c r="D9" s="6"/>
      <c r="E9" s="8"/>
      <c r="F9" s="7">
        <v>0</v>
      </c>
      <c r="G9" s="8" t="s">
        <v>140</v>
      </c>
      <c r="H9" s="9">
        <v>46025</v>
      </c>
      <c r="I9" s="6">
        <f t="shared" si="0"/>
        <v>5605.57</v>
      </c>
      <c r="J9" s="5"/>
      <c r="K9" s="5"/>
      <c r="L9" s="18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>
        <v>0</v>
      </c>
      <c r="G10" s="8" t="s">
        <v>141</v>
      </c>
      <c r="H10" s="9">
        <v>46025</v>
      </c>
      <c r="I10" s="6">
        <f t="shared" si="0"/>
        <v>5605.57</v>
      </c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>
        <v>35</v>
      </c>
      <c r="G11" s="8" t="s">
        <v>78</v>
      </c>
      <c r="H11" s="9">
        <v>46025</v>
      </c>
      <c r="I11" s="6">
        <f t="shared" si="0"/>
        <v>5570.57</v>
      </c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>
        <v>50</v>
      </c>
      <c r="G12" s="8" t="s">
        <v>136</v>
      </c>
      <c r="H12" s="9">
        <v>46027</v>
      </c>
      <c r="I12" s="6">
        <f t="shared" si="0"/>
        <v>5520.57</v>
      </c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>
        <v>30</v>
      </c>
      <c r="G13" s="8" t="s">
        <v>142</v>
      </c>
      <c r="H13" s="9">
        <v>46027</v>
      </c>
      <c r="I13" s="6">
        <f t="shared" si="0"/>
        <v>5490.57</v>
      </c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>
        <v>100</v>
      </c>
      <c r="G14" s="8" t="s">
        <v>136</v>
      </c>
      <c r="H14" s="9">
        <v>46028</v>
      </c>
      <c r="I14" s="6">
        <f t="shared" si="0"/>
        <v>5390.57</v>
      </c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>
        <v>50</v>
      </c>
      <c r="G15" s="8" t="s">
        <v>143</v>
      </c>
      <c r="H15" s="9">
        <v>46028</v>
      </c>
      <c r="I15" s="6">
        <f>I14-F15</f>
        <v>5340.57</v>
      </c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>
        <v>145</v>
      </c>
      <c r="G16" s="8" t="s">
        <v>144</v>
      </c>
      <c r="H16" s="9">
        <v>46028</v>
      </c>
      <c r="I16" s="6">
        <f>I15-F16</f>
        <v>5195.57</v>
      </c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1">
        <v>50</v>
      </c>
      <c r="G17" s="8" t="s">
        <v>145</v>
      </c>
      <c r="H17" s="9">
        <v>46028</v>
      </c>
      <c r="I17" s="6">
        <f t="shared" ref="I17:I30" si="1">I16-F17</f>
        <v>5145.57</v>
      </c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32">
        <v>20</v>
      </c>
      <c r="G18" s="8" t="s">
        <v>146</v>
      </c>
      <c r="H18" s="9">
        <v>46031</v>
      </c>
      <c r="I18" s="6">
        <f t="shared" si="1"/>
        <v>5125.57</v>
      </c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32">
        <v>30</v>
      </c>
      <c r="G19" s="8" t="s">
        <v>147</v>
      </c>
      <c r="H19" s="9">
        <v>46032</v>
      </c>
      <c r="I19" s="6">
        <f t="shared" si="1"/>
        <v>5095.57</v>
      </c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/>
      <c r="C20" s="6"/>
      <c r="D20" s="6"/>
      <c r="E20" s="6"/>
      <c r="F20" s="32">
        <v>100</v>
      </c>
      <c r="G20" s="8" t="s">
        <v>37</v>
      </c>
      <c r="H20" s="9">
        <v>46032</v>
      </c>
      <c r="I20" s="6">
        <f t="shared" si="1"/>
        <v>4995.57</v>
      </c>
      <c r="J20" s="5"/>
      <c r="K20" s="5"/>
      <c r="L20" s="5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/>
      <c r="C21" s="6"/>
      <c r="D21" s="6"/>
      <c r="E21" s="6"/>
      <c r="F21" s="32">
        <v>50</v>
      </c>
      <c r="G21" s="8" t="s">
        <v>107</v>
      </c>
      <c r="H21" s="9">
        <v>46033</v>
      </c>
      <c r="I21" s="6">
        <f t="shared" si="1"/>
        <v>4945.57</v>
      </c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6"/>
      <c r="C22" s="6"/>
      <c r="D22" s="6"/>
      <c r="E22" s="6"/>
      <c r="F22" s="32">
        <v>150</v>
      </c>
      <c r="G22" s="8" t="s">
        <v>148</v>
      </c>
      <c r="H22" s="9">
        <v>46034</v>
      </c>
      <c r="I22" s="6">
        <f t="shared" si="1"/>
        <v>4795.57</v>
      </c>
      <c r="J22" s="5"/>
      <c r="K22" s="5"/>
      <c r="L22" s="5"/>
      <c r="M22" s="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6"/>
      <c r="C23" s="6"/>
      <c r="D23" s="6"/>
      <c r="E23" s="6"/>
      <c r="F23" s="32">
        <v>2100</v>
      </c>
      <c r="G23" s="8" t="s">
        <v>149</v>
      </c>
      <c r="H23" s="9">
        <v>46034</v>
      </c>
      <c r="I23" s="6">
        <f t="shared" si="1"/>
        <v>2695.5699999999997</v>
      </c>
      <c r="J23" s="5"/>
      <c r="K23" s="5"/>
      <c r="L23" s="5"/>
      <c r="M23" s="5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6"/>
      <c r="C24" s="6"/>
      <c r="D24" s="6"/>
      <c r="E24" s="6"/>
      <c r="F24" s="6">
        <v>40</v>
      </c>
      <c r="G24" s="8" t="s">
        <v>70</v>
      </c>
      <c r="H24" s="9">
        <v>46034</v>
      </c>
      <c r="I24" s="6">
        <f t="shared" si="1"/>
        <v>2655.5699999999997</v>
      </c>
      <c r="J24" s="5"/>
      <c r="K24" s="5"/>
      <c r="L24" s="5"/>
      <c r="M24" s="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6"/>
      <c r="C25" s="6"/>
      <c r="D25" s="6"/>
      <c r="E25" s="6"/>
      <c r="F25" s="6">
        <v>100</v>
      </c>
      <c r="G25" s="8" t="s">
        <v>37</v>
      </c>
      <c r="H25" s="9">
        <v>46035</v>
      </c>
      <c r="I25" s="6">
        <f t="shared" si="1"/>
        <v>2555.5699999999997</v>
      </c>
      <c r="J25" s="5"/>
      <c r="K25" s="5"/>
      <c r="L25" s="5"/>
      <c r="M25" s="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6"/>
      <c r="C26" s="6"/>
      <c r="D26" s="6"/>
      <c r="E26" s="6"/>
      <c r="F26" s="6">
        <v>60</v>
      </c>
      <c r="G26" s="8" t="s">
        <v>150</v>
      </c>
      <c r="H26" s="9">
        <v>46035</v>
      </c>
      <c r="I26" s="6">
        <f t="shared" si="1"/>
        <v>2495.5699999999997</v>
      </c>
      <c r="J26" s="5"/>
      <c r="K26" s="5"/>
      <c r="L26" s="5"/>
      <c r="M26" s="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6"/>
      <c r="C27" s="6"/>
      <c r="D27" s="6"/>
      <c r="E27" s="6"/>
      <c r="F27" s="6">
        <v>70</v>
      </c>
      <c r="G27" s="8" t="s">
        <v>151</v>
      </c>
      <c r="H27" s="9">
        <v>46035</v>
      </c>
      <c r="I27" s="6">
        <f t="shared" si="1"/>
        <v>2425.5699999999997</v>
      </c>
      <c r="J27" s="5"/>
      <c r="K27" s="5"/>
      <c r="L27" s="5"/>
      <c r="M27" s="5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6"/>
      <c r="C28" s="6"/>
      <c r="D28" s="6"/>
      <c r="E28" s="6"/>
      <c r="F28" s="6">
        <v>50</v>
      </c>
      <c r="G28" s="8" t="s">
        <v>152</v>
      </c>
      <c r="H28" s="9">
        <v>46035</v>
      </c>
      <c r="I28" s="6">
        <f t="shared" si="1"/>
        <v>2375.5699999999997</v>
      </c>
      <c r="J28" s="5"/>
      <c r="K28" s="5"/>
      <c r="L28" s="5"/>
      <c r="M28" s="5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6"/>
      <c r="C29" s="6"/>
      <c r="D29" s="6"/>
      <c r="E29" s="6"/>
      <c r="F29" s="6">
        <v>281</v>
      </c>
      <c r="G29" s="8" t="s">
        <v>153</v>
      </c>
      <c r="H29" s="9">
        <v>46037</v>
      </c>
      <c r="I29" s="6">
        <f t="shared" si="1"/>
        <v>2094.5699999999997</v>
      </c>
      <c r="J29" s="5"/>
      <c r="K29" s="5"/>
      <c r="L29" s="5"/>
      <c r="M29" s="5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6"/>
      <c r="C30" s="6"/>
      <c r="D30" s="6"/>
      <c r="E30" s="6"/>
      <c r="F30" s="6">
        <v>10</v>
      </c>
      <c r="G30" s="8" t="s">
        <v>142</v>
      </c>
      <c r="H30" s="9">
        <v>46038</v>
      </c>
      <c r="I30" s="6">
        <f t="shared" si="1"/>
        <v>2084.5699999999997</v>
      </c>
      <c r="J30" s="5"/>
      <c r="K30" s="5"/>
      <c r="L30" s="5"/>
      <c r="M30" s="5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6"/>
      <c r="C31" s="6"/>
      <c r="D31" s="6"/>
      <c r="E31" s="6"/>
      <c r="F31" s="6"/>
      <c r="G31" s="8"/>
      <c r="H31" s="9"/>
      <c r="I31" s="20"/>
      <c r="J31" s="5"/>
      <c r="K31" s="5"/>
      <c r="L31" s="5"/>
      <c r="M31" s="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6"/>
      <c r="C32" s="6"/>
      <c r="D32" s="6"/>
      <c r="E32" s="6"/>
      <c r="F32" s="6"/>
      <c r="G32" s="8"/>
      <c r="H32" s="9"/>
      <c r="I32" s="20"/>
      <c r="J32" s="5"/>
      <c r="K32" s="5"/>
      <c r="L32" s="5"/>
      <c r="M32" s="5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6"/>
      <c r="C33" s="6"/>
      <c r="D33" s="6"/>
      <c r="E33" s="6"/>
      <c r="F33" s="6"/>
      <c r="G33" s="8"/>
      <c r="H33" s="9"/>
      <c r="I33" s="20"/>
      <c r="J33" s="5"/>
      <c r="K33" s="5"/>
      <c r="L33" s="5"/>
      <c r="M33" s="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6"/>
      <c r="C34" s="6"/>
      <c r="D34" s="6"/>
      <c r="E34" s="6"/>
      <c r="F34" s="6"/>
      <c r="G34" s="8"/>
      <c r="H34" s="9"/>
      <c r="I34" s="20"/>
      <c r="J34" s="5"/>
      <c r="K34" s="5"/>
      <c r="L34" s="5"/>
      <c r="M34" s="5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6"/>
      <c r="C35" s="6"/>
      <c r="D35" s="6"/>
      <c r="E35" s="6"/>
      <c r="F35" s="6"/>
      <c r="G35" s="25"/>
      <c r="H35" s="9"/>
      <c r="I35" s="20"/>
      <c r="J35" s="5"/>
      <c r="K35" s="5"/>
      <c r="L35" s="5"/>
      <c r="M35" s="5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6" t="s">
        <v>116</v>
      </c>
      <c r="C36" s="6"/>
      <c r="D36" s="6"/>
      <c r="E36" s="6"/>
      <c r="F36" s="14">
        <f>SUM(F4:F35)</f>
        <v>4078</v>
      </c>
      <c r="G36" s="8"/>
      <c r="H36" s="6"/>
      <c r="I36" s="22">
        <f>E4-F36</f>
        <v>2084.5699999999997</v>
      </c>
      <c r="J36" s="34" t="s">
        <v>110</v>
      </c>
      <c r="K36" s="34"/>
      <c r="L36" s="34"/>
      <c r="M36" s="5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6" t="s">
        <v>10</v>
      </c>
      <c r="C37" s="6"/>
      <c r="D37" s="6"/>
      <c r="E37" s="13">
        <f>SUM(F36:I36)</f>
        <v>6162.57</v>
      </c>
      <c r="F37" s="6"/>
      <c r="G37" s="6"/>
      <c r="H37" s="6"/>
      <c r="I37" s="21"/>
      <c r="J37" s="5"/>
      <c r="K37" s="5"/>
      <c r="L37" s="5"/>
      <c r="M37" s="5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1"/>
      <c r="C38" s="1"/>
      <c r="D38" s="1"/>
      <c r="E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1"/>
      <c r="C39" s="1"/>
      <c r="D39" s="1"/>
      <c r="E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1"/>
      <c r="C40" s="1"/>
      <c r="D40" s="1"/>
      <c r="E40" s="1"/>
      <c r="F40" s="1" t="s">
        <v>53</v>
      </c>
      <c r="G40" s="1"/>
      <c r="H40" s="1"/>
      <c r="I40" s="1">
        <v>1533.03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1"/>
      <c r="C41" s="1"/>
      <c r="D41" s="1"/>
      <c r="E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1"/>
      <c r="C42" s="1"/>
      <c r="D42" s="1"/>
      <c r="E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1"/>
      <c r="C43" s="1"/>
      <c r="D43" s="1"/>
      <c r="E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1"/>
      <c r="C44" s="1"/>
      <c r="D44" s="1"/>
      <c r="E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1"/>
      <c r="C45" s="1"/>
      <c r="D45" s="1"/>
      <c r="E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1"/>
      <c r="C46" s="1"/>
      <c r="D46" s="1"/>
      <c r="E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1"/>
      <c r="C47" s="1"/>
      <c r="D47" s="1"/>
      <c r="E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1"/>
      <c r="C48" s="1"/>
      <c r="D48" s="1"/>
      <c r="E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1"/>
      <c r="C49" s="1"/>
      <c r="D49" s="1"/>
      <c r="E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x14ac:dyDescent="0.35">
      <c r="B95" s="1"/>
      <c r="C95" s="1"/>
      <c r="D95" s="1"/>
      <c r="E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x14ac:dyDescent="0.35">
      <c r="B96" s="1"/>
      <c r="C96" s="1"/>
      <c r="D96" s="1"/>
      <c r="E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x14ac:dyDescent="0.35">
      <c r="B97" s="1"/>
      <c r="C97" s="1"/>
      <c r="D97" s="1"/>
      <c r="E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x14ac:dyDescent="0.3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x14ac:dyDescent="0.3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x14ac:dyDescent="0.3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x14ac:dyDescent="0.35">
      <c r="B101" s="1"/>
      <c r="C101" s="1"/>
      <c r="D101" s="1"/>
      <c r="E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x14ac:dyDescent="0.35">
      <c r="B102" s="1"/>
      <c r="C102" s="1"/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x14ac:dyDescent="0.35">
      <c r="B103" s="1"/>
      <c r="C103" s="1"/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x14ac:dyDescent="0.35">
      <c r="B104" s="1"/>
      <c r="C104" s="1"/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x14ac:dyDescent="0.35">
      <c r="B105" s="1"/>
      <c r="C105" s="1"/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x14ac:dyDescent="0.35">
      <c r="B106" s="1"/>
      <c r="C106" s="1"/>
      <c r="D106" s="1"/>
      <c r="E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x14ac:dyDescent="0.35">
      <c r="B107" s="1"/>
      <c r="C107" s="1"/>
      <c r="D107" s="1"/>
      <c r="E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x14ac:dyDescent="0.35">
      <c r="B108" s="1"/>
      <c r="C108" s="1"/>
      <c r="D108" s="1"/>
      <c r="E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x14ac:dyDescent="0.35">
      <c r="B109" s="1"/>
      <c r="C109" s="1"/>
      <c r="D109" s="1"/>
      <c r="E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x14ac:dyDescent="0.35">
      <c r="B110" s="1"/>
      <c r="C110" s="1"/>
      <c r="D110" s="1"/>
      <c r="E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</sheetData>
  <mergeCells count="2">
    <mergeCell ref="B2:I2"/>
    <mergeCell ref="J36:L36"/>
  </mergeCells>
  <pageMargins left="0.7" right="0.7" top="0.75" bottom="0.75" header="0.3" footer="0.3"/>
  <pageSetup paperSize="0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F303-38A9-4871-A42F-526357F8CC3F}">
  <dimension ref="B2:F8"/>
  <sheetViews>
    <sheetView workbookViewId="0">
      <selection activeCell="D14" sqref="D14"/>
    </sheetView>
  </sheetViews>
  <sheetFormatPr baseColWidth="10" defaultRowHeight="14.5" x14ac:dyDescent="0.35"/>
  <cols>
    <col min="1" max="1" width="2.81640625" customWidth="1"/>
    <col min="2" max="3" width="24.1796875" customWidth="1"/>
    <col min="4" max="5" width="16.08984375" customWidth="1"/>
    <col min="6" max="6" width="30.54296875" customWidth="1"/>
  </cols>
  <sheetData>
    <row r="2" spans="2:6" x14ac:dyDescent="0.35">
      <c r="B2" s="33"/>
      <c r="C2" s="33"/>
      <c r="D2" s="33"/>
      <c r="E2" s="33"/>
      <c r="F2" s="33"/>
    </row>
    <row r="3" spans="2:6" ht="28" customHeight="1" x14ac:dyDescent="0.35">
      <c r="B3" s="26" t="s">
        <v>87</v>
      </c>
      <c r="C3" s="27" t="s">
        <v>121</v>
      </c>
      <c r="D3" s="26" t="s">
        <v>123</v>
      </c>
      <c r="E3" s="26" t="s">
        <v>120</v>
      </c>
      <c r="F3" s="27" t="s">
        <v>86</v>
      </c>
    </row>
    <row r="4" spans="2:6" ht="15.5" customHeight="1" x14ac:dyDescent="0.35">
      <c r="B4" s="6" t="s">
        <v>119</v>
      </c>
      <c r="C4" s="8">
        <v>3000</v>
      </c>
      <c r="D4" s="9"/>
      <c r="E4" s="9">
        <v>46032</v>
      </c>
      <c r="F4" s="8" t="s">
        <v>114</v>
      </c>
    </row>
    <row r="5" spans="2:6" x14ac:dyDescent="0.35">
      <c r="B5" s="6" t="s">
        <v>122</v>
      </c>
      <c r="C5" s="7">
        <v>2000</v>
      </c>
      <c r="D5" s="7">
        <f>C4+C5</f>
        <v>5000</v>
      </c>
      <c r="E5" s="9">
        <v>46037</v>
      </c>
      <c r="F5" s="8" t="s">
        <v>114</v>
      </c>
    </row>
    <row r="6" spans="2:6" x14ac:dyDescent="0.35">
      <c r="B6" s="6" t="s">
        <v>124</v>
      </c>
      <c r="C6" s="7">
        <v>600</v>
      </c>
      <c r="D6" s="7">
        <f>C6+D5</f>
        <v>5600</v>
      </c>
      <c r="E6" s="9">
        <v>46052</v>
      </c>
      <c r="F6" s="8" t="s">
        <v>114</v>
      </c>
    </row>
    <row r="7" spans="2:6" x14ac:dyDescent="0.35">
      <c r="B7" s="6" t="s">
        <v>125</v>
      </c>
      <c r="C7" s="6">
        <f>SUM(C4:C6)</f>
        <v>5600</v>
      </c>
      <c r="D7" s="6"/>
      <c r="E7" s="6"/>
      <c r="F7" s="25"/>
    </row>
    <row r="8" spans="2:6" x14ac:dyDescent="0.35">
      <c r="B8" s="6"/>
      <c r="C8" s="6"/>
      <c r="D8" s="6"/>
      <c r="E8" s="6"/>
      <c r="F8" s="8"/>
    </row>
  </sheetData>
  <mergeCells count="1">
    <mergeCell ref="B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24FAE-007C-474F-8432-FA016CF65CB4}">
  <dimension ref="B2:J17"/>
  <sheetViews>
    <sheetView workbookViewId="0">
      <selection activeCell="I12" sqref="I12"/>
    </sheetView>
  </sheetViews>
  <sheetFormatPr baseColWidth="10" defaultRowHeight="14.5" x14ac:dyDescent="0.35"/>
  <cols>
    <col min="1" max="1" width="2.81640625" customWidth="1"/>
    <col min="2" max="2" width="16.54296875" customWidth="1"/>
    <col min="3" max="3" width="13.90625" customWidth="1"/>
    <col min="4" max="4" width="29.453125" customWidth="1"/>
    <col min="5" max="6" width="16.08984375" style="1" customWidth="1"/>
    <col min="7" max="7" width="16.08984375" customWidth="1"/>
    <col min="8" max="8" width="16.08984375" style="1" customWidth="1"/>
  </cols>
  <sheetData>
    <row r="2" spans="2:10" ht="18" x14ac:dyDescent="0.35">
      <c r="B2" s="35" t="s">
        <v>134</v>
      </c>
      <c r="C2" s="35"/>
      <c r="D2" s="35"/>
      <c r="E2" s="35"/>
      <c r="F2" s="35"/>
      <c r="G2" s="35"/>
      <c r="H2" s="35"/>
    </row>
    <row r="3" spans="2:10" ht="28" customHeight="1" x14ac:dyDescent="0.35">
      <c r="B3" s="26" t="s">
        <v>126</v>
      </c>
      <c r="C3" s="27" t="s">
        <v>121</v>
      </c>
      <c r="D3" s="28" t="s">
        <v>85</v>
      </c>
      <c r="E3" s="26" t="s">
        <v>121</v>
      </c>
      <c r="F3" s="26" t="s">
        <v>128</v>
      </c>
      <c r="G3" s="26" t="s">
        <v>120</v>
      </c>
      <c r="H3" s="26" t="s">
        <v>135</v>
      </c>
    </row>
    <row r="4" spans="2:10" ht="15.5" customHeight="1" x14ac:dyDescent="0.35">
      <c r="B4" s="6" t="s">
        <v>132</v>
      </c>
      <c r="C4" s="8">
        <v>4000</v>
      </c>
      <c r="D4" s="29" t="s">
        <v>127</v>
      </c>
      <c r="E4" s="7">
        <v>2000</v>
      </c>
      <c r="F4" s="7">
        <f>E4</f>
        <v>2000</v>
      </c>
      <c r="G4" s="9" t="s">
        <v>114</v>
      </c>
      <c r="H4" s="7">
        <f>C4-E4</f>
        <v>2000</v>
      </c>
      <c r="I4" s="31"/>
      <c r="J4" s="31"/>
    </row>
    <row r="5" spans="2:10" x14ac:dyDescent="0.35">
      <c r="B5" s="6"/>
      <c r="C5" s="7"/>
      <c r="D5" s="29" t="s">
        <v>124</v>
      </c>
      <c r="E5" s="7">
        <v>600</v>
      </c>
      <c r="F5" s="7">
        <f>E5+F4</f>
        <v>2600</v>
      </c>
      <c r="G5" s="9" t="s">
        <v>114</v>
      </c>
      <c r="H5" s="7">
        <f>H4-E5</f>
        <v>1400</v>
      </c>
      <c r="I5" s="31"/>
      <c r="J5" s="31"/>
    </row>
    <row r="6" spans="2:10" x14ac:dyDescent="0.35">
      <c r="B6" s="6"/>
      <c r="C6" s="7"/>
      <c r="D6" s="29" t="s">
        <v>129</v>
      </c>
      <c r="E6" s="7">
        <v>160</v>
      </c>
      <c r="F6" s="7">
        <f t="shared" ref="F6:F7" si="0">E6+F5</f>
        <v>2760</v>
      </c>
      <c r="G6" s="9" t="s">
        <v>114</v>
      </c>
      <c r="H6" s="7">
        <f t="shared" ref="H6:H9" si="1">H5-E6</f>
        <v>1240</v>
      </c>
      <c r="I6" s="31"/>
      <c r="J6" s="31"/>
    </row>
    <row r="7" spans="2:10" x14ac:dyDescent="0.35">
      <c r="B7" s="6"/>
      <c r="C7" s="6"/>
      <c r="D7" s="30" t="s">
        <v>130</v>
      </c>
      <c r="E7" s="7">
        <v>500</v>
      </c>
      <c r="F7" s="7">
        <f t="shared" si="0"/>
        <v>3260</v>
      </c>
      <c r="G7" s="9" t="s">
        <v>114</v>
      </c>
      <c r="H7" s="7">
        <f t="shared" si="1"/>
        <v>740</v>
      </c>
      <c r="I7" s="5"/>
      <c r="J7" s="5"/>
    </row>
    <row r="8" spans="2:10" x14ac:dyDescent="0.35">
      <c r="B8" s="6"/>
      <c r="C8" s="6"/>
      <c r="D8" s="30" t="s">
        <v>131</v>
      </c>
      <c r="E8" s="7">
        <v>125</v>
      </c>
      <c r="F8" s="7">
        <f>E8+F7</f>
        <v>3385</v>
      </c>
      <c r="G8" s="9" t="s">
        <v>114</v>
      </c>
      <c r="H8" s="7">
        <f t="shared" si="1"/>
        <v>615</v>
      </c>
      <c r="I8" s="5"/>
      <c r="J8" s="5"/>
    </row>
    <row r="9" spans="2:10" x14ac:dyDescent="0.35">
      <c r="B9" s="6"/>
      <c r="C9" s="6"/>
      <c r="D9" s="17" t="s">
        <v>32</v>
      </c>
      <c r="E9" s="7">
        <v>70</v>
      </c>
      <c r="F9" s="7">
        <f t="shared" ref="F9" si="2">E9+F8</f>
        <v>3455</v>
      </c>
      <c r="G9" s="9" t="s">
        <v>114</v>
      </c>
      <c r="H9" s="7">
        <f t="shared" si="1"/>
        <v>545</v>
      </c>
      <c r="I9" s="5"/>
      <c r="J9" s="5"/>
    </row>
    <row r="10" spans="2:10" x14ac:dyDescent="0.35">
      <c r="B10" s="6"/>
      <c r="C10" s="6"/>
      <c r="D10" s="17" t="s">
        <v>133</v>
      </c>
      <c r="E10" s="7">
        <v>200</v>
      </c>
      <c r="F10" s="7">
        <f t="shared" ref="F10" si="3">E10+F9</f>
        <v>3655</v>
      </c>
      <c r="G10" s="9" t="s">
        <v>114</v>
      </c>
      <c r="H10" s="7">
        <f>H9-E10</f>
        <v>345</v>
      </c>
    </row>
    <row r="11" spans="2:10" x14ac:dyDescent="0.35">
      <c r="B11" s="6"/>
      <c r="C11" s="6"/>
      <c r="D11" s="17"/>
      <c r="E11" s="6"/>
      <c r="F11" s="7"/>
      <c r="G11" s="6"/>
      <c r="H11" s="6"/>
    </row>
    <row r="12" spans="2:10" x14ac:dyDescent="0.35">
      <c r="B12" s="6"/>
      <c r="C12" s="6"/>
      <c r="D12" s="17"/>
      <c r="E12" s="6"/>
      <c r="F12" s="7"/>
      <c r="G12" s="6"/>
      <c r="H12" s="6"/>
    </row>
    <row r="13" spans="2:10" x14ac:dyDescent="0.35">
      <c r="B13" s="6"/>
      <c r="C13" s="6"/>
      <c r="D13" s="17"/>
      <c r="E13" s="6"/>
      <c r="F13" s="7"/>
      <c r="G13" s="6"/>
      <c r="H13" s="6"/>
    </row>
    <row r="14" spans="2:10" x14ac:dyDescent="0.35">
      <c r="B14" s="6"/>
      <c r="C14" s="6"/>
      <c r="D14" s="17"/>
      <c r="E14" s="6"/>
      <c r="F14" s="7"/>
      <c r="G14" s="6"/>
      <c r="H14" s="6"/>
    </row>
    <row r="15" spans="2:10" x14ac:dyDescent="0.35">
      <c r="B15" s="6"/>
      <c r="C15" s="6"/>
      <c r="D15" s="17"/>
      <c r="E15" s="6"/>
      <c r="F15" s="7"/>
      <c r="G15" s="6"/>
      <c r="H15" s="6"/>
    </row>
    <row r="16" spans="2:10" x14ac:dyDescent="0.35">
      <c r="B16" s="6"/>
      <c r="C16" s="6"/>
      <c r="D16" s="17"/>
      <c r="E16" s="6"/>
      <c r="F16" s="7"/>
      <c r="G16" s="6"/>
      <c r="H16" s="6"/>
    </row>
    <row r="17" spans="2:8" x14ac:dyDescent="0.35">
      <c r="B17" s="6"/>
      <c r="C17" s="6"/>
      <c r="D17" s="17"/>
      <c r="E17" s="6"/>
      <c r="F17" s="7"/>
      <c r="G17" s="6"/>
      <c r="H17" s="6"/>
    </row>
  </sheetData>
  <mergeCells count="1">
    <mergeCell ref="B2:H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Septie2025</vt:lpstr>
      <vt:lpstr>Octub2025</vt:lpstr>
      <vt:lpstr>Noviem2025</vt:lpstr>
      <vt:lpstr>Diciem2025</vt:lpstr>
      <vt:lpstr>Ene2026</vt:lpstr>
      <vt:lpstr>Presupuesto 2026</vt:lpstr>
      <vt:lpstr>PresupV1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2026-01-16T21:39:29Z</dcterms:modified>
</cp:coreProperties>
</file>