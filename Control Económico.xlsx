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Genry Luis\Documents\py\"/>
    </mc:Choice>
  </mc:AlternateContent>
  <xr:revisionPtr revIDLastSave="0" documentId="13_ncr:1_{6132C799-F6F5-4CA9-9EF9-BEBB048DFD05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Septiembre" sheetId="1" r:id="rId1"/>
    <sheet name="Octubre" sheetId="3" r:id="rId2"/>
    <sheet name="Noviembre" sheetId="4" r:id="rId3"/>
    <sheet name="Hoja1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4" l="1"/>
  <c r="D4" i="4"/>
  <c r="E40" i="3"/>
  <c r="D4" i="3"/>
  <c r="E18" i="1"/>
  <c r="D4" i="1"/>
  <c r="H35" i="4" l="1"/>
  <c r="D36" i="4" s="1"/>
  <c r="H40" i="3"/>
  <c r="D41" i="3" s="1"/>
  <c r="H18" i="1"/>
  <c r="D19" i="1" s="1"/>
</calcChain>
</file>

<file path=xl/sharedStrings.xml><?xml version="1.0" encoding="utf-8"?>
<sst xmlns="http://schemas.openxmlformats.org/spreadsheetml/2006/main" count="126" uniqueCount="83">
  <si>
    <t>CONTROL DE SUELDOS</t>
  </si>
  <si>
    <t>INICIAL</t>
  </si>
  <si>
    <t>GASTOS</t>
  </si>
  <si>
    <t>EN QUE</t>
  </si>
  <si>
    <t>FECHA</t>
  </si>
  <si>
    <t>Retiro caja Super</t>
  </si>
  <si>
    <t>ACTIVOS</t>
  </si>
  <si>
    <t>SALDO FINAL</t>
  </si>
  <si>
    <t>Ultimo pago reparación moto</t>
  </si>
  <si>
    <t>Préstamo a Wuelmer</t>
  </si>
  <si>
    <t>Comprobación:</t>
  </si>
  <si>
    <t>Calzone Dóminos</t>
  </si>
  <si>
    <t>Gasolina La Com.</t>
  </si>
  <si>
    <t xml:space="preserve">Medicamentos </t>
  </si>
  <si>
    <t>Retiro caja EL (Comidad y otros)</t>
  </si>
  <si>
    <t>En cuenta de Ahorro</t>
  </si>
  <si>
    <t>POR</t>
  </si>
  <si>
    <t>Sueldo quincenal</t>
  </si>
  <si>
    <t>Existente</t>
  </si>
  <si>
    <t>Tortillas pendientes</t>
  </si>
  <si>
    <t>Curso Network Excentials Intecap</t>
  </si>
  <si>
    <t xml:space="preserve">Gastos </t>
  </si>
  <si>
    <t>Retiro Rabinal y Pasaje</t>
  </si>
  <si>
    <t>Gasolina Moto</t>
  </si>
  <si>
    <t>Flores</t>
  </si>
  <si>
    <t>No se que</t>
  </si>
  <si>
    <t>00000000000000000000000000000000000000000000000000000000000000000000000000000000000000000000000000000000000000000000000000000000000000000000000000000000000000000000000000000000000000000000.00000000…..........................................................................................................................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33...................................................................................................................................................................3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</t>
  </si>
  <si>
    <t>Tortillas</t>
  </si>
  <si>
    <t>Verduras</t>
  </si>
  <si>
    <t>Gasolina</t>
  </si>
  <si>
    <t>Super (galletas, pasta)</t>
  </si>
  <si>
    <t>Gastos</t>
  </si>
  <si>
    <t>Netflix</t>
  </si>
  <si>
    <t>Cemaco (galletas y coca)</t>
  </si>
  <si>
    <t>Piezas Pollo</t>
  </si>
  <si>
    <t>Amburguesa Macdonals</t>
  </si>
  <si>
    <t>Super octubre</t>
  </si>
  <si>
    <t>Gastos personales</t>
  </si>
  <si>
    <t>Playera Naruto Uzumaky</t>
  </si>
  <si>
    <t>Para tortillas pendientes</t>
  </si>
  <si>
    <t>Pago por internet en tigo</t>
  </si>
  <si>
    <t>Llanta para moto</t>
  </si>
  <si>
    <t>Regalo Yéremi</t>
  </si>
  <si>
    <t>Pizza</t>
  </si>
  <si>
    <t>Deuda con Freddy</t>
  </si>
  <si>
    <t>2da-15na septiembre</t>
  </si>
  <si>
    <t>1ra-15na octubre</t>
  </si>
  <si>
    <t>Super</t>
  </si>
  <si>
    <t>Gasolina gastos</t>
  </si>
  <si>
    <t>Gasolina viaje a casa</t>
  </si>
  <si>
    <t>SALDO INICIAL</t>
  </si>
  <si>
    <t>Don Calzone</t>
  </si>
  <si>
    <t xml:space="preserve">Gasolina </t>
  </si>
  <si>
    <t xml:space="preserve"> </t>
  </si>
  <si>
    <t>Desayuno</t>
  </si>
  <si>
    <t>Crea nivea</t>
  </si>
  <si>
    <t>Uso de tarjeta</t>
  </si>
  <si>
    <t>No se sabe</t>
  </si>
  <si>
    <t>2da-15na octubre</t>
  </si>
  <si>
    <t>1ra-15na noviembre</t>
  </si>
  <si>
    <t>Pago moto Suzuki</t>
  </si>
  <si>
    <t>Reparación Moto Suzuki</t>
  </si>
  <si>
    <t>Crema Nivea</t>
  </si>
  <si>
    <t>Pedido en Temu</t>
  </si>
  <si>
    <t>Burger King desayuno</t>
  </si>
  <si>
    <t>Pendiente en que</t>
  </si>
  <si>
    <t>Gel, Bombilla, Galleta - Super</t>
  </si>
  <si>
    <t>Gastos personales (45 Verduras)</t>
  </si>
  <si>
    <t xml:space="preserve">Gastos personales </t>
  </si>
  <si>
    <t>Gasolina (Viaje a Casa)</t>
  </si>
  <si>
    <t>Gasolina de la semana</t>
  </si>
  <si>
    <t>No recuerdo</t>
  </si>
  <si>
    <t xml:space="preserve">Último pago moto Suzuky </t>
  </si>
  <si>
    <t>18/11/205</t>
  </si>
  <si>
    <t>Pago de servicio tigo</t>
  </si>
  <si>
    <t>No se sabe :c</t>
  </si>
  <si>
    <t>(Q200 tortillas, 200 gastos)</t>
  </si>
  <si>
    <t>ND nota de débito normal</t>
  </si>
  <si>
    <t>Almuerzo</t>
  </si>
  <si>
    <t xml:space="preserve">Gasolina a Casa </t>
  </si>
  <si>
    <t>31/11/2025</t>
  </si>
  <si>
    <t>Serial Super</t>
  </si>
  <si>
    <t>100 GRUA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</si>
</sst>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vertical="center"/>
    </xf>
    <xf numFmtId="164" fontId="1" fillId="0" borderId="0" xfId="0" applyNumberFormat="1" applyFont="1"/>
    <xf numFmtId="164" fontId="3" fillId="0" borderId="0" xfId="0" applyNumberFormat="1" applyFont="1" applyAlignment="1">
      <alignment wrapText="1"/>
    </xf>
    <xf numFmtId="164" fontId="4" fillId="0" borderId="0" xfId="0" applyNumberFormat="1" applyFont="1"/>
    <xf numFmtId="164" fontId="4" fillId="0" borderId="1" xfId="0" applyNumberFormat="1" applyFont="1" applyBorder="1"/>
    <xf numFmtId="164" fontId="4" fillId="0" borderId="1" xfId="0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wrapText="1"/>
    </xf>
    <xf numFmtId="14" fontId="4" fillId="0" borderId="1" xfId="0" applyNumberFormat="1" applyFont="1" applyBorder="1" applyAlignment="1">
      <alignment horizontal="right" wrapText="1"/>
    </xf>
    <xf numFmtId="14" fontId="4" fillId="0" borderId="1" xfId="0" applyNumberFormat="1" applyFont="1" applyBorder="1" applyAlignment="1">
      <alignment wrapText="1"/>
    </xf>
    <xf numFmtId="164" fontId="1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right" wrapText="1"/>
    </xf>
    <xf numFmtId="6" fontId="4" fillId="0" borderId="1" xfId="0" applyNumberFormat="1" applyFont="1" applyBorder="1"/>
    <xf numFmtId="164" fontId="4" fillId="0" borderId="2" xfId="0" applyNumberFormat="1" applyFont="1" applyBorder="1" applyAlignment="1">
      <alignment wrapText="1"/>
    </xf>
    <xf numFmtId="0" fontId="4" fillId="0" borderId="1" xfId="0" applyFont="1" applyBorder="1"/>
    <xf numFmtId="164" fontId="5" fillId="0" borderId="0" xfId="0" applyNumberFormat="1" applyFont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4" xfId="0" applyNumberFormat="1" applyFont="1" applyBorder="1"/>
    <xf numFmtId="164" fontId="2" fillId="3" borderId="1" xfId="0" applyNumberFormat="1" applyFont="1" applyFill="1" applyBorder="1"/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92"/>
  <sheetViews>
    <sheetView workbookViewId="0">
      <selection activeCell="E23" sqref="E2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26953125" customWidth="1"/>
    <col min="5" max="5" width="18.1796875" customWidth="1"/>
    <col min="6" max="6" width="34.81640625" customWidth="1"/>
    <col min="7" max="7" width="11.08984375" customWidth="1"/>
    <col min="8" max="8" width="13.269531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1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2110</v>
      </c>
      <c r="C4" s="6" t="s">
        <v>17</v>
      </c>
      <c r="D4" s="14">
        <f>SUM(B4:B5)</f>
        <v>2395</v>
      </c>
      <c r="E4" s="8">
        <v>1000</v>
      </c>
      <c r="F4" s="8" t="s">
        <v>8</v>
      </c>
      <c r="G4" s="9">
        <v>45913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285</v>
      </c>
      <c r="C5" s="6" t="s">
        <v>18</v>
      </c>
      <c r="D5" s="8"/>
      <c r="E5" s="7">
        <v>100</v>
      </c>
      <c r="F5" s="8" t="s">
        <v>9</v>
      </c>
      <c r="G5" s="9">
        <v>45913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6"/>
      <c r="C6" s="6"/>
      <c r="D6" s="8"/>
      <c r="E6" s="7">
        <v>40</v>
      </c>
      <c r="F6" s="8" t="s">
        <v>12</v>
      </c>
      <c r="G6" s="9">
        <v>45914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60</v>
      </c>
      <c r="F7" s="8" t="s">
        <v>13</v>
      </c>
      <c r="G7" s="9">
        <v>45914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100</v>
      </c>
      <c r="F8" s="8" t="s">
        <v>14</v>
      </c>
      <c r="G8" s="9">
        <v>45914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20</v>
      </c>
      <c r="F9" s="8" t="s">
        <v>11</v>
      </c>
      <c r="G9" s="9">
        <v>45914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100</v>
      </c>
      <c r="F10" s="8" t="s">
        <v>5</v>
      </c>
      <c r="G10" s="9">
        <v>45917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8"/>
      <c r="E11" s="8">
        <v>100</v>
      </c>
      <c r="F11" s="8" t="s">
        <v>19</v>
      </c>
      <c r="G11" s="10">
        <v>45919</v>
      </c>
      <c r="H11" s="6"/>
      <c r="I11" s="5"/>
      <c r="J11" s="5">
        <v>0</v>
      </c>
      <c r="K11" s="5" t="s">
        <v>26</v>
      </c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8"/>
      <c r="E12" s="8">
        <v>100</v>
      </c>
      <c r="F12" s="8" t="s">
        <v>20</v>
      </c>
      <c r="G12" s="10">
        <v>45919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8"/>
      <c r="E13" s="15">
        <v>300</v>
      </c>
      <c r="F13" s="8" t="s">
        <v>21</v>
      </c>
      <c r="G13" s="8"/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90</v>
      </c>
      <c r="F14" s="6" t="s">
        <v>22</v>
      </c>
      <c r="G14" s="6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>
        <v>80</v>
      </c>
      <c r="F15" s="6" t="s">
        <v>23</v>
      </c>
      <c r="G15" s="6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>
        <v>100</v>
      </c>
      <c r="F16" s="16" t="s">
        <v>24</v>
      </c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55</v>
      </c>
      <c r="F17" s="6" t="s">
        <v>25</v>
      </c>
      <c r="G17" s="6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14">
        <f>SUM(E4:E17)</f>
        <v>2245</v>
      </c>
      <c r="F18" s="6"/>
      <c r="G18" s="6"/>
      <c r="H18" s="13">
        <f>D4-E18</f>
        <v>150</v>
      </c>
      <c r="I18" s="5" t="s">
        <v>15</v>
      </c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 t="s">
        <v>10</v>
      </c>
      <c r="C19" s="6"/>
      <c r="D19" s="13">
        <f>SUM(E18:H18)</f>
        <v>2395</v>
      </c>
      <c r="E19" s="6"/>
      <c r="F19" s="6"/>
      <c r="G19" s="6"/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8EBF9-3FF0-4226-BA71-7DF463DFD99B}">
  <dimension ref="B2:X114"/>
  <sheetViews>
    <sheetView topLeftCell="A22" workbookViewId="0">
      <selection activeCell="E13" sqref="E1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45</v>
      </c>
      <c r="D4" s="14">
        <f>SUM(B4:B9)</f>
        <v>4282.22</v>
      </c>
      <c r="E4" s="8">
        <v>200</v>
      </c>
      <c r="F4" s="8" t="s">
        <v>27</v>
      </c>
      <c r="G4" s="9">
        <v>44839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150</v>
      </c>
      <c r="C5" s="6" t="s">
        <v>18</v>
      </c>
      <c r="D5" s="8"/>
      <c r="E5" s="7">
        <v>30</v>
      </c>
      <c r="F5" s="8" t="s">
        <v>28</v>
      </c>
      <c r="G5" s="9">
        <v>44839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2110</v>
      </c>
      <c r="C6" s="6" t="s">
        <v>46</v>
      </c>
      <c r="D6" s="8"/>
      <c r="E6" s="7">
        <v>50</v>
      </c>
      <c r="F6" s="8" t="s">
        <v>29</v>
      </c>
      <c r="G6" s="9">
        <v>44839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20</v>
      </c>
      <c r="F7" s="8" t="s">
        <v>33</v>
      </c>
      <c r="G7" s="9">
        <v>44839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20</v>
      </c>
      <c r="F8" s="8" t="s">
        <v>30</v>
      </c>
      <c r="G8" s="9">
        <v>44840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250</v>
      </c>
      <c r="F9" s="8" t="s">
        <v>31</v>
      </c>
      <c r="G9" s="9">
        <v>44840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70</v>
      </c>
      <c r="F10" s="8" t="s">
        <v>32</v>
      </c>
      <c r="G10" s="9">
        <v>44840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ht="14.5" customHeight="1" x14ac:dyDescent="0.35">
      <c r="B11" s="6"/>
      <c r="C11" s="6"/>
      <c r="D11" s="8"/>
      <c r="E11" s="7">
        <v>30</v>
      </c>
      <c r="F11" s="8" t="s">
        <v>29</v>
      </c>
      <c r="G11" s="9">
        <v>44842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ht="14.5" customHeight="1" x14ac:dyDescent="0.35">
      <c r="B12" s="6"/>
      <c r="C12" s="6"/>
      <c r="D12" s="8"/>
      <c r="E12" s="7">
        <v>50</v>
      </c>
      <c r="F12" s="6" t="s">
        <v>37</v>
      </c>
      <c r="G12" s="9">
        <v>44843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ht="14.5" customHeight="1" x14ac:dyDescent="0.35">
      <c r="B13" s="6"/>
      <c r="C13" s="6"/>
      <c r="D13" s="8"/>
      <c r="E13" s="8">
        <v>48</v>
      </c>
      <c r="F13" s="8" t="s">
        <v>35</v>
      </c>
      <c r="G13" s="9">
        <v>44843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ht="14.5" customHeight="1" x14ac:dyDescent="0.35">
      <c r="B14" s="6"/>
      <c r="C14" s="6"/>
      <c r="D14" s="8"/>
      <c r="E14" s="7">
        <v>50</v>
      </c>
      <c r="F14" s="6" t="s">
        <v>37</v>
      </c>
      <c r="G14" s="9">
        <v>44844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8"/>
      <c r="E15" s="8">
        <v>40</v>
      </c>
      <c r="F15" s="8" t="s">
        <v>34</v>
      </c>
      <c r="G15" s="9">
        <v>44846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8"/>
      <c r="E16" s="8">
        <v>60</v>
      </c>
      <c r="F16" s="8" t="s">
        <v>36</v>
      </c>
      <c r="G16" s="9">
        <v>44846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8"/>
      <c r="E17" s="6">
        <v>30</v>
      </c>
      <c r="F17" s="6" t="s">
        <v>29</v>
      </c>
      <c r="G17" s="9">
        <v>44847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8"/>
      <c r="E18" s="6">
        <v>150</v>
      </c>
      <c r="F18" s="6" t="s">
        <v>38</v>
      </c>
      <c r="G18" s="9">
        <v>44848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100</v>
      </c>
      <c r="F19" s="17" t="s">
        <v>39</v>
      </c>
      <c r="G19" s="9">
        <v>44849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50</v>
      </c>
      <c r="F20" s="6" t="s">
        <v>37</v>
      </c>
      <c r="G20" s="9">
        <v>44849</v>
      </c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540</v>
      </c>
      <c r="F21" s="6" t="s">
        <v>41</v>
      </c>
      <c r="G21" s="9">
        <v>44852</v>
      </c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100</v>
      </c>
      <c r="F22" s="6" t="s">
        <v>42</v>
      </c>
      <c r="G22" s="9">
        <v>44852</v>
      </c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50</v>
      </c>
      <c r="F23" s="6" t="s">
        <v>49</v>
      </c>
      <c r="G23" s="9">
        <v>44852</v>
      </c>
      <c r="H23" s="6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200</v>
      </c>
      <c r="F24" s="6" t="s">
        <v>37</v>
      </c>
      <c r="G24" s="9">
        <v>44852</v>
      </c>
      <c r="H24" s="6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60</v>
      </c>
      <c r="F25" s="6" t="s">
        <v>43</v>
      </c>
      <c r="G25" s="9">
        <v>44853</v>
      </c>
      <c r="H25" s="6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100</v>
      </c>
      <c r="F26" s="6" t="s">
        <v>48</v>
      </c>
      <c r="G26" s="9">
        <v>44854</v>
      </c>
      <c r="H26" s="6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35</v>
      </c>
      <c r="F27" s="6" t="s">
        <v>44</v>
      </c>
      <c r="G27" s="9">
        <v>44855</v>
      </c>
      <c r="H27" s="6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30</v>
      </c>
      <c r="F28" s="6" t="s">
        <v>47</v>
      </c>
      <c r="G28" s="9">
        <v>44859</v>
      </c>
      <c r="H28" s="6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184</v>
      </c>
      <c r="F29" s="6" t="s">
        <v>40</v>
      </c>
      <c r="G29" s="9">
        <v>44863</v>
      </c>
      <c r="H29" s="6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20</v>
      </c>
      <c r="F30" s="6" t="s">
        <v>51</v>
      </c>
      <c r="G30" s="9">
        <v>44863</v>
      </c>
      <c r="H30" s="6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20</v>
      </c>
      <c r="F31" s="6" t="s">
        <v>52</v>
      </c>
      <c r="G31" s="9">
        <v>44864</v>
      </c>
      <c r="H31" s="6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10</v>
      </c>
      <c r="F32" s="6" t="s">
        <v>54</v>
      </c>
      <c r="G32" s="9">
        <v>44865</v>
      </c>
      <c r="H32" s="6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19">
        <v>50</v>
      </c>
      <c r="F33" s="6" t="s">
        <v>37</v>
      </c>
      <c r="G33" s="9">
        <v>44865</v>
      </c>
      <c r="H33" s="6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19">
        <v>30</v>
      </c>
      <c r="F34" s="6" t="s">
        <v>55</v>
      </c>
      <c r="G34" s="9">
        <v>45964</v>
      </c>
      <c r="H34" s="6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200</v>
      </c>
      <c r="F35" s="6" t="s">
        <v>27</v>
      </c>
      <c r="G35" s="9">
        <v>45964</v>
      </c>
      <c r="H35" s="6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6">
        <v>150</v>
      </c>
      <c r="F36" s="6" t="s">
        <v>37</v>
      </c>
      <c r="G36" s="9">
        <v>45964</v>
      </c>
      <c r="H36" s="6"/>
      <c r="I36" s="5"/>
      <c r="J36" s="5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/>
      <c r="C37" s="6"/>
      <c r="D37" s="6"/>
      <c r="E37" s="6">
        <v>15</v>
      </c>
      <c r="F37" s="6" t="s">
        <v>56</v>
      </c>
      <c r="G37" s="9">
        <v>45964</v>
      </c>
      <c r="H37" s="6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6"/>
      <c r="C38" s="6"/>
      <c r="D38" s="6"/>
      <c r="E38" s="6">
        <v>10</v>
      </c>
      <c r="F38" s="6" t="s">
        <v>57</v>
      </c>
      <c r="G38" s="9"/>
      <c r="H38" s="6"/>
      <c r="I38" s="5"/>
      <c r="J38" s="5"/>
      <c r="K38" s="5"/>
      <c r="L38" s="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6"/>
      <c r="C39" s="6"/>
      <c r="D39" s="6"/>
      <c r="E39" s="6"/>
      <c r="F39" s="6"/>
      <c r="G39" s="9"/>
      <c r="H39" s="20"/>
      <c r="I39" s="5"/>
      <c r="J39" s="5"/>
      <c r="K39" s="5"/>
      <c r="L39" s="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6"/>
      <c r="C40" s="6"/>
      <c r="D40" s="6"/>
      <c r="E40" s="14">
        <f>SUM(E4:E39)</f>
        <v>3052</v>
      </c>
      <c r="F40" s="6"/>
      <c r="G40" s="6"/>
      <c r="H40" s="22">
        <f>D4-E40</f>
        <v>1230.2200000000003</v>
      </c>
      <c r="I40" s="23" t="s">
        <v>15</v>
      </c>
      <c r="J40" s="23"/>
      <c r="K40" s="5"/>
      <c r="L40" s="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6" t="s">
        <v>10</v>
      </c>
      <c r="C41" s="6"/>
      <c r="D41" s="13">
        <f>SUM(E40:H40)</f>
        <v>4282.22</v>
      </c>
      <c r="E41" s="6"/>
      <c r="F41" s="6"/>
      <c r="G41" s="6"/>
      <c r="H41" s="21"/>
      <c r="I41" s="5"/>
      <c r="J41" s="5"/>
      <c r="K41" s="5"/>
      <c r="L41" s="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 t="s">
        <v>53</v>
      </c>
      <c r="F44" s="1"/>
      <c r="G44" s="1"/>
      <c r="H44" s="1">
        <v>1533.03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2:24" x14ac:dyDescent="0.3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2:24" x14ac:dyDescent="0.3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2:24" x14ac:dyDescent="0.3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2:24" x14ac:dyDescent="0.3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400DD-AFE1-43E8-B2CF-C766C3744FCE}">
  <dimension ref="B2:X109"/>
  <sheetViews>
    <sheetView topLeftCell="A26" workbookViewId="0">
      <selection activeCell="F40" sqref="F40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58</v>
      </c>
      <c r="D4" s="14">
        <f>SUM(B4:B7)</f>
        <v>5364.99</v>
      </c>
      <c r="E4" s="8">
        <v>2500</v>
      </c>
      <c r="F4" s="8" t="s">
        <v>60</v>
      </c>
      <c r="G4" s="9">
        <v>45965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1232.7</v>
      </c>
      <c r="C5" s="6" t="s">
        <v>18</v>
      </c>
      <c r="D5" s="8"/>
      <c r="E5" s="7">
        <v>25</v>
      </c>
      <c r="F5" s="8" t="s">
        <v>61</v>
      </c>
      <c r="G5" s="9">
        <v>45965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24">
        <v>2110.0700000000002</v>
      </c>
      <c r="C6" s="6" t="s">
        <v>59</v>
      </c>
      <c r="D6" s="8"/>
      <c r="E6" s="7">
        <v>30</v>
      </c>
      <c r="F6" s="8" t="s">
        <v>29</v>
      </c>
      <c r="G6" s="9">
        <v>45966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27</v>
      </c>
      <c r="F7" s="8" t="s">
        <v>62</v>
      </c>
      <c r="G7" s="9">
        <v>45966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x14ac:dyDescent="0.35">
      <c r="B8" s="6"/>
      <c r="C8" s="6"/>
      <c r="D8" s="6"/>
      <c r="E8" s="6">
        <v>212</v>
      </c>
      <c r="F8" s="8" t="s">
        <v>63</v>
      </c>
      <c r="G8" s="9">
        <v>45966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x14ac:dyDescent="0.35">
      <c r="B9" s="6"/>
      <c r="C9" s="6"/>
      <c r="D9" s="6"/>
      <c r="E9" s="6">
        <v>40</v>
      </c>
      <c r="F9" s="8" t="s">
        <v>65</v>
      </c>
      <c r="G9" s="9">
        <v>45967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47</v>
      </c>
      <c r="F10" s="8" t="s">
        <v>64</v>
      </c>
      <c r="G10" s="9">
        <v>45969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46</v>
      </c>
      <c r="F11" s="8" t="s">
        <v>66</v>
      </c>
      <c r="G11" s="9">
        <v>45970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211</v>
      </c>
      <c r="F12" s="8" t="s">
        <v>67</v>
      </c>
      <c r="G12" s="9">
        <v>45971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19">
        <v>40</v>
      </c>
      <c r="F13" s="8" t="s">
        <v>52</v>
      </c>
      <c r="G13" s="9">
        <v>45971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19">
        <v>30</v>
      </c>
      <c r="F14" s="8" t="s">
        <v>70</v>
      </c>
      <c r="G14" s="9">
        <v>45972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50</v>
      </c>
      <c r="F15" s="8" t="s">
        <v>69</v>
      </c>
      <c r="G15" s="9">
        <v>45976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19">
        <v>50</v>
      </c>
      <c r="F16" s="8" t="s">
        <v>71</v>
      </c>
      <c r="G16" s="9">
        <v>45978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52</v>
      </c>
      <c r="G17" s="9">
        <v>45978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100</v>
      </c>
      <c r="F18" s="8" t="s">
        <v>19</v>
      </c>
      <c r="G18" s="9">
        <v>45979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200</v>
      </c>
      <c r="F19" s="8" t="s">
        <v>68</v>
      </c>
      <c r="G19" s="9" t="s">
        <v>73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20</v>
      </c>
      <c r="F20" s="8" t="s">
        <v>71</v>
      </c>
      <c r="G20" s="9">
        <v>45979</v>
      </c>
      <c r="H20" s="6"/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560</v>
      </c>
      <c r="F21" s="8" t="s">
        <v>72</v>
      </c>
      <c r="G21" s="9">
        <v>45979</v>
      </c>
      <c r="H21" s="20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20</v>
      </c>
      <c r="F22" s="8" t="s">
        <v>29</v>
      </c>
      <c r="G22" s="9">
        <v>45982</v>
      </c>
      <c r="H22" s="20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144</v>
      </c>
      <c r="F23" s="8" t="s">
        <v>74</v>
      </c>
      <c r="G23" s="9">
        <v>45985</v>
      </c>
      <c r="H23" s="20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7</v>
      </c>
      <c r="F24" s="8" t="s">
        <v>54</v>
      </c>
      <c r="G24" s="9">
        <v>45990</v>
      </c>
      <c r="H24" s="20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10</v>
      </c>
      <c r="F25" s="8" t="s">
        <v>29</v>
      </c>
      <c r="G25" s="9">
        <v>45990</v>
      </c>
      <c r="H25" s="20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30</v>
      </c>
      <c r="F26" s="8" t="s">
        <v>29</v>
      </c>
      <c r="G26" s="9">
        <v>45990</v>
      </c>
      <c r="H26" s="20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200</v>
      </c>
      <c r="F27" s="8" t="s">
        <v>37</v>
      </c>
      <c r="G27" s="9">
        <v>45990</v>
      </c>
      <c r="H27" s="20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75</v>
      </c>
      <c r="G28" s="9" t="s">
        <v>80</v>
      </c>
      <c r="H28" s="20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40</v>
      </c>
      <c r="F29" s="8" t="s">
        <v>79</v>
      </c>
      <c r="G29" s="9" t="s">
        <v>80</v>
      </c>
      <c r="H29" s="20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5</v>
      </c>
      <c r="F30" s="8" t="s">
        <v>78</v>
      </c>
      <c r="G30" s="9" t="s">
        <v>80</v>
      </c>
      <c r="H30" s="20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25</v>
      </c>
      <c r="F31" s="8" t="s">
        <v>81</v>
      </c>
      <c r="G31" s="9">
        <v>45992</v>
      </c>
      <c r="H31" s="20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400</v>
      </c>
      <c r="F32" s="8" t="s">
        <v>76</v>
      </c>
      <c r="G32" s="9">
        <v>45992</v>
      </c>
      <c r="H32" s="20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6">
        <v>15</v>
      </c>
      <c r="F33" s="8" t="s">
        <v>77</v>
      </c>
      <c r="G33" s="9">
        <v>45993</v>
      </c>
      <c r="H33" s="20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6">
        <v>39</v>
      </c>
      <c r="F34" s="8" t="s">
        <v>77</v>
      </c>
      <c r="G34" s="9">
        <v>45993</v>
      </c>
      <c r="H34" s="20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14">
        <f>SUM(E4:E34)</f>
        <v>5263</v>
      </c>
      <c r="F35" s="6"/>
      <c r="G35" s="6"/>
      <c r="H35" s="22">
        <f>D4-E35</f>
        <v>101.98999999999978</v>
      </c>
      <c r="I35" s="23" t="s">
        <v>15</v>
      </c>
      <c r="J35" s="23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 t="s">
        <v>10</v>
      </c>
      <c r="C36" s="6"/>
      <c r="D36" s="13">
        <f>SUM(E35:H35)</f>
        <v>5364.99</v>
      </c>
      <c r="E36" s="6"/>
      <c r="F36" s="6"/>
      <c r="G36" s="6"/>
      <c r="H36" s="21"/>
      <c r="I36" s="5"/>
      <c r="J36" s="5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 t="s">
        <v>53</v>
      </c>
      <c r="F39" s="1"/>
      <c r="G39" s="1"/>
      <c r="H39" s="1">
        <v>1533.03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7D475-08D4-486C-A1A1-B2BBBAFB893D}">
  <dimension ref="E8"/>
  <sheetViews>
    <sheetView tabSelected="1" workbookViewId="0">
      <selection activeCell="H10" sqref="H10"/>
    </sheetView>
  </sheetViews>
  <sheetFormatPr baseColWidth="10" defaultRowHeight="14.5" x14ac:dyDescent="0.35"/>
  <sheetData>
    <row r="8" spans="5:5" x14ac:dyDescent="0.35">
      <c r="E8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Septiembre</vt:lpstr>
      <vt:lpstr>Octubre</vt:lpstr>
      <vt:lpstr>Noviembre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Genry Luis</dc:creator>
  <cp:lastModifiedBy>Genry Uwualdo Luis Alvarado</cp:lastModifiedBy>
  <dcterms:created xsi:type="dcterms:W3CDTF">2015-06-05T18:19:34Z</dcterms:created>
  <dcterms:modified xsi:type="dcterms:W3CDTF">2025-12-02T21:53:03Z</dcterms:modified>
</cp:coreProperties>
</file>