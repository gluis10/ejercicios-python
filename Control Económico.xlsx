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Genry Luis\Documents\py\"/>
    </mc:Choice>
  </mc:AlternateContent>
  <xr:revisionPtr revIDLastSave="0" documentId="13_ncr:1_{FD4EC179-0A1C-47D2-AFD9-192FFD8CB8A0}" xr6:coauthVersionLast="47" xr6:coauthVersionMax="47" xr10:uidLastSave="{00000000-0000-0000-0000-000000000000}"/>
  <bookViews>
    <workbookView xWindow="-110" yWindow="-110" windowWidth="19420" windowHeight="10300" firstSheet="2" activeTab="4" xr2:uid="{00000000-000D-0000-FFFF-FFFF00000000}"/>
  </bookViews>
  <sheets>
    <sheet name="Septie2025" sheetId="1" r:id="rId1"/>
    <sheet name="Octub2025" sheetId="3" r:id="rId2"/>
    <sheet name="Noviem2025" sheetId="4" r:id="rId3"/>
    <sheet name="Diciem2025" sheetId="7" r:id="rId4"/>
    <sheet name="Ene2026" sheetId="8" r:id="rId5"/>
    <sheet name="Presupuesto 2026" sheetId="9" r:id="rId6"/>
    <sheet name="PresupV1" sheetId="1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5" i="8" l="1"/>
  <c r="I36" i="8"/>
  <c r="H10" i="11"/>
  <c r="H6" i="11"/>
  <c r="H7" i="11" s="1"/>
  <c r="H8" i="11" s="1"/>
  <c r="H9" i="11" s="1"/>
  <c r="H5" i="11"/>
  <c r="H4" i="11"/>
  <c r="F10" i="11"/>
  <c r="F6" i="11"/>
  <c r="F7" i="11" s="1"/>
  <c r="F8" i="11" s="1"/>
  <c r="F9" i="11" s="1"/>
  <c r="F5" i="11"/>
  <c r="F4" i="11"/>
  <c r="C7" i="9"/>
  <c r="D6" i="9"/>
  <c r="D5" i="9"/>
  <c r="F38" i="8"/>
  <c r="E4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D4" i="7"/>
  <c r="E31" i="7"/>
  <c r="E36" i="4"/>
  <c r="D4" i="4"/>
  <c r="E40" i="3"/>
  <c r="D4" i="3"/>
  <c r="E18" i="1"/>
  <c r="D4" i="1"/>
  <c r="H31" i="7" l="1"/>
  <c r="D32" i="7" s="1"/>
  <c r="I38" i="8"/>
  <c r="E39" i="8" s="1"/>
  <c r="H4" i="7"/>
  <c r="H5" i="7" s="1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36" i="4"/>
  <c r="D37" i="4" s="1"/>
  <c r="H40" i="3"/>
  <c r="D41" i="3" s="1"/>
  <c r="H18" i="1"/>
  <c r="D19" i="1" s="1"/>
  <c r="H17" i="7" l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</calcChain>
</file>

<file path=xl/sharedStrings.xml><?xml version="1.0" encoding="utf-8"?>
<sst xmlns="http://schemas.openxmlformats.org/spreadsheetml/2006/main" count="254" uniqueCount="159">
  <si>
    <t>CONTROL DE SUELDOS</t>
  </si>
  <si>
    <t>INICIAL</t>
  </si>
  <si>
    <t>GASTOS</t>
  </si>
  <si>
    <t>EN QUE</t>
  </si>
  <si>
    <t>FECHA</t>
  </si>
  <si>
    <t>Retiro caja Super</t>
  </si>
  <si>
    <t>ACTIVOS</t>
  </si>
  <si>
    <t>SALDO FINAL</t>
  </si>
  <si>
    <t>Ultimo pago reparación moto</t>
  </si>
  <si>
    <t>Préstamo a Wuelmer</t>
  </si>
  <si>
    <t>Comprobación:</t>
  </si>
  <si>
    <t>Calzone Dóminos</t>
  </si>
  <si>
    <t>Gasolina La Com.</t>
  </si>
  <si>
    <t xml:space="preserve">Medicamentos </t>
  </si>
  <si>
    <t>Retiro caja EL (Comidad y otros)</t>
  </si>
  <si>
    <t>En cuenta de Ahorro</t>
  </si>
  <si>
    <t>POR</t>
  </si>
  <si>
    <t>Sueldo quincenal</t>
  </si>
  <si>
    <t>Existente</t>
  </si>
  <si>
    <t>Tortillas pendientes</t>
  </si>
  <si>
    <t>Curso Network Excentials Intecap</t>
  </si>
  <si>
    <t xml:space="preserve">Gastos </t>
  </si>
  <si>
    <t>Retiro Rabinal y Pasaje</t>
  </si>
  <si>
    <t>Gasolina Moto</t>
  </si>
  <si>
    <t>Flores</t>
  </si>
  <si>
    <t>No se que</t>
  </si>
  <si>
    <t>00000000000000000000000000000000000000000000000000000000000000000000000000000000000000000000000000000000000000000000000000000000000000000000000000000000000000000000000000000000000000000000.00000000…..........................................................................................................................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33...................................................................................................................................................................3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</t>
  </si>
  <si>
    <t>Tortillas</t>
  </si>
  <si>
    <t>Verduras</t>
  </si>
  <si>
    <t>Gasolina</t>
  </si>
  <si>
    <t>Super (galletas, pasta)</t>
  </si>
  <si>
    <t>Gastos</t>
  </si>
  <si>
    <t>Netflix</t>
  </si>
  <si>
    <t>Cemaco (galletas y coca)</t>
  </si>
  <si>
    <t>Piezas Pollo</t>
  </si>
  <si>
    <t>Amburguesa Macdonals</t>
  </si>
  <si>
    <t>Super octubre</t>
  </si>
  <si>
    <t>Gastos personales</t>
  </si>
  <si>
    <t>Playera Naruto Uzumaky</t>
  </si>
  <si>
    <t>Para tortillas pendientes</t>
  </si>
  <si>
    <t>Pago por internet en tigo</t>
  </si>
  <si>
    <t>Llanta para moto</t>
  </si>
  <si>
    <t>Regalo Yéremi</t>
  </si>
  <si>
    <t>Pizza</t>
  </si>
  <si>
    <t>Deuda con Freddy</t>
  </si>
  <si>
    <t>2da-15na septiembre</t>
  </si>
  <si>
    <t>1ra-15na octubre</t>
  </si>
  <si>
    <t>Super</t>
  </si>
  <si>
    <t>Gasolina gastos</t>
  </si>
  <si>
    <t>Gasolina viaje a casa</t>
  </si>
  <si>
    <t>SALDO INICIAL</t>
  </si>
  <si>
    <t>Don Calzone</t>
  </si>
  <si>
    <t xml:space="preserve">Gasolina </t>
  </si>
  <si>
    <t xml:space="preserve"> </t>
  </si>
  <si>
    <t>Desayuno</t>
  </si>
  <si>
    <t>Crea nivea</t>
  </si>
  <si>
    <t>Uso de tarjeta</t>
  </si>
  <si>
    <t>No se sabe</t>
  </si>
  <si>
    <t>2da-15na octubre</t>
  </si>
  <si>
    <t>1ra-15na noviembre</t>
  </si>
  <si>
    <t>Pago moto Suzuki</t>
  </si>
  <si>
    <t>Reparación Moto Suzuki</t>
  </si>
  <si>
    <t>Crema Nivea</t>
  </si>
  <si>
    <t>Pedido en Temu</t>
  </si>
  <si>
    <t>Burger King desayuno</t>
  </si>
  <si>
    <t>Pendiente en que</t>
  </si>
  <si>
    <t>Gel, Bombilla, Galleta - Super</t>
  </si>
  <si>
    <t>Gastos personales (45 Verduras)</t>
  </si>
  <si>
    <t xml:space="preserve">Gastos personales </t>
  </si>
  <si>
    <t>Gasolina (Viaje a Casa)</t>
  </si>
  <si>
    <t>Gasolina de la semana</t>
  </si>
  <si>
    <t>No recuerdo</t>
  </si>
  <si>
    <t xml:space="preserve">Último pago moto Suzuky </t>
  </si>
  <si>
    <t>18/11/205</t>
  </si>
  <si>
    <t>Pago de servicio tigo</t>
  </si>
  <si>
    <t>No se sabe :c</t>
  </si>
  <si>
    <t>(Q200 tortillas, 200 gastos)</t>
  </si>
  <si>
    <t>ND nota de débito normal</t>
  </si>
  <si>
    <t>Almuerzo</t>
  </si>
  <si>
    <t xml:space="preserve">Gasolina a Casa </t>
  </si>
  <si>
    <t>31/11/2025</t>
  </si>
  <si>
    <t>Serial Super</t>
  </si>
  <si>
    <t>2da-15na noviembre</t>
  </si>
  <si>
    <t>Aguinaldo P1</t>
  </si>
  <si>
    <t>Aguinaldo P2</t>
  </si>
  <si>
    <t>DÉBITOS</t>
  </si>
  <si>
    <t>DESCRIPCIÓN DE DÉBITO</t>
  </si>
  <si>
    <t>DESCRIPCIÓN DE CRÉDITO</t>
  </si>
  <si>
    <t>Grua moto</t>
  </si>
  <si>
    <t>Aporte a Retiro</t>
  </si>
  <si>
    <t>Retiro, gastos personales</t>
  </si>
  <si>
    <t>Timon, Pastillas, Kit Kunas</t>
  </si>
  <si>
    <t>Porta Manecillas (Closh)</t>
  </si>
  <si>
    <t>Gasolina semanal</t>
  </si>
  <si>
    <t>1ra-15na diciembre</t>
  </si>
  <si>
    <t>Gasolina de trabajo</t>
  </si>
  <si>
    <t>Uber al trabajo</t>
  </si>
  <si>
    <t>Barras para moto</t>
  </si>
  <si>
    <t>Inversiones Juj GT - ….</t>
  </si>
  <si>
    <t>Comercializa Dora E Hid GT -…</t>
  </si>
  <si>
    <t>Pendiente</t>
  </si>
  <si>
    <t>Lodera de moto</t>
  </si>
  <si>
    <t>Poste de moto</t>
  </si>
  <si>
    <t>Base de poste de moto</t>
  </si>
  <si>
    <t>Gatos para viajar a casa</t>
  </si>
  <si>
    <t>Gasolina para trabajar</t>
  </si>
  <si>
    <t xml:space="preserve">Gasolina para viajar a casa </t>
  </si>
  <si>
    <t>Gasolina para regresar a la capital</t>
  </si>
  <si>
    <t>Amburguesa almuerzo</t>
  </si>
  <si>
    <t>Retrovisor derecho</t>
  </si>
  <si>
    <t>En cuenta de (Ahorro mas Monetaria)</t>
  </si>
  <si>
    <t xml:space="preserve">Enderazado y armado de Moto </t>
  </si>
  <si>
    <t>Base y barra de Moto (Repuesto)</t>
  </si>
  <si>
    <t>2da-15cena diciembre 2025</t>
  </si>
  <si>
    <t>pendiente</t>
  </si>
  <si>
    <t>1ra-15cena enero 2026</t>
  </si>
  <si>
    <t>Totol gastado</t>
  </si>
  <si>
    <t>Extra Random</t>
  </si>
  <si>
    <t>FECHA DE ENVÍO</t>
  </si>
  <si>
    <t>Matrícula de Universidad</t>
  </si>
  <si>
    <t>FECHA DE PAGO</t>
  </si>
  <si>
    <t>CANTIDAD</t>
  </si>
  <si>
    <t>Mensualidad - Enero</t>
  </si>
  <si>
    <t>SUMATORIA</t>
  </si>
  <si>
    <t>Renta de casa</t>
  </si>
  <si>
    <t>Total enero</t>
  </si>
  <si>
    <t>CRÉDITO</t>
  </si>
  <si>
    <t>Pago de Universidad</t>
  </si>
  <si>
    <t>DÉBITO MENSUAL</t>
  </si>
  <si>
    <t>Combustible mensual</t>
  </si>
  <si>
    <t>Gastos para comidad mensual</t>
  </si>
  <si>
    <t>Pago de Internet Movil</t>
  </si>
  <si>
    <t>Pago Mensual</t>
  </si>
  <si>
    <t>Gatos extras</t>
  </si>
  <si>
    <t>PRESUPUESTO MENSUAL 2026</t>
  </si>
  <si>
    <t>SALDO SOBRANTE</t>
  </si>
  <si>
    <t>Para gastos del trabajo y otros</t>
  </si>
  <si>
    <t>Aporte convivio navideño</t>
  </si>
  <si>
    <t xml:space="preserve">Cable para clohs </t>
  </si>
  <si>
    <t xml:space="preserve">Led de moto </t>
  </si>
  <si>
    <t>Colección de carros (G9)</t>
  </si>
  <si>
    <t>Cortina para ventana (G9)</t>
  </si>
  <si>
    <t>Gasolina de moto semanal</t>
  </si>
  <si>
    <t>Creí que ya había pagado cable clohs</t>
  </si>
  <si>
    <t>Compras de higiene personal</t>
  </si>
  <si>
    <t xml:space="preserve">Pendiente </t>
  </si>
  <si>
    <t>Gasolina (Vier, Sab, Dom)</t>
  </si>
  <si>
    <t>Piezas de pollo (Almuerzo)</t>
  </si>
  <si>
    <t>Renovación de Beca</t>
  </si>
  <si>
    <t>Pago matrícula de Universidad</t>
  </si>
  <si>
    <t>Super del Barrio</t>
  </si>
  <si>
    <t>Netflix del Mes</t>
  </si>
  <si>
    <t>Instalación de luz led a moto</t>
  </si>
  <si>
    <t>Desparacitante, Sucrol, Vital Fuerta</t>
  </si>
  <si>
    <t>ATMS (Gasto desconocido)</t>
  </si>
  <si>
    <t>Pago servicio de Internet</t>
  </si>
  <si>
    <t>Baterías AAA</t>
  </si>
  <si>
    <t>Porta-teléfono</t>
  </si>
  <si>
    <t>Corte de cabello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</si>
</sst>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Q&quot;#,##0;[Red]\-&quot;Q&quot;#,##0"/>
    <numFmt numFmtId="164" formatCode="&quot;Q&quot;#,##0.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u/>
      <sz val="11"/>
      <color theme="1"/>
      <name val="Arial"/>
      <family val="2"/>
    </font>
    <font>
      <sz val="8"/>
      <name val="Calibri"/>
      <family val="2"/>
      <scheme val="minor"/>
    </font>
    <font>
      <b/>
      <sz val="14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vertical="center"/>
    </xf>
    <xf numFmtId="164" fontId="1" fillId="0" borderId="0" xfId="0" applyNumberFormat="1" applyFont="1"/>
    <xf numFmtId="164" fontId="3" fillId="0" borderId="0" xfId="0" applyNumberFormat="1" applyFont="1" applyAlignment="1">
      <alignment wrapText="1"/>
    </xf>
    <xf numFmtId="164" fontId="4" fillId="0" borderId="0" xfId="0" applyNumberFormat="1" applyFont="1"/>
    <xf numFmtId="164" fontId="4" fillId="0" borderId="1" xfId="0" applyNumberFormat="1" applyFont="1" applyBorder="1"/>
    <xf numFmtId="164" fontId="4" fillId="0" borderId="1" xfId="0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wrapText="1"/>
    </xf>
    <xf numFmtId="14" fontId="4" fillId="0" borderId="1" xfId="0" applyNumberFormat="1" applyFont="1" applyBorder="1" applyAlignment="1">
      <alignment horizontal="right" wrapText="1"/>
    </xf>
    <xf numFmtId="14" fontId="4" fillId="0" borderId="1" xfId="0" applyNumberFormat="1" applyFont="1" applyBorder="1" applyAlignment="1">
      <alignment wrapText="1"/>
    </xf>
    <xf numFmtId="164" fontId="1" fillId="2" borderId="1" xfId="0" applyNumberFormat="1" applyFont="1" applyFill="1" applyBorder="1"/>
    <xf numFmtId="164" fontId="3" fillId="2" borderId="1" xfId="0" applyNumberFormat="1" applyFont="1" applyFill="1" applyBorder="1" applyAlignment="1">
      <alignment wrapText="1"/>
    </xf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right" wrapText="1"/>
    </xf>
    <xf numFmtId="6" fontId="4" fillId="0" borderId="1" xfId="0" applyNumberFormat="1" applyFont="1" applyBorder="1"/>
    <xf numFmtId="164" fontId="4" fillId="0" borderId="2" xfId="0" applyNumberFormat="1" applyFont="1" applyBorder="1" applyAlignment="1">
      <alignment wrapText="1"/>
    </xf>
    <xf numFmtId="0" fontId="4" fillId="0" borderId="1" xfId="0" applyFont="1" applyBorder="1"/>
    <xf numFmtId="164" fontId="5" fillId="0" borderId="0" xfId="0" applyNumberFormat="1" applyFont="1"/>
    <xf numFmtId="164" fontId="4" fillId="0" borderId="2" xfId="0" applyNumberFormat="1" applyFont="1" applyBorder="1"/>
    <xf numFmtId="164" fontId="4" fillId="0" borderId="3" xfId="0" applyNumberFormat="1" applyFont="1" applyBorder="1"/>
    <xf numFmtId="164" fontId="4" fillId="0" borderId="4" xfId="0" applyNumberFormat="1" applyFont="1" applyBorder="1"/>
    <xf numFmtId="164" fontId="2" fillId="3" borderId="1" xfId="0" applyNumberFormat="1" applyFont="1" applyFill="1" applyBorder="1"/>
    <xf numFmtId="164" fontId="4" fillId="3" borderId="1" xfId="0" applyNumberFormat="1" applyFont="1" applyFill="1" applyBorder="1"/>
    <xf numFmtId="164" fontId="2" fillId="0" borderId="1" xfId="0" applyNumberFormat="1" applyFont="1" applyBorder="1" applyAlignment="1">
      <alignment horizontal="center"/>
    </xf>
    <xf numFmtId="0" fontId="0" fillId="0" borderId="1" xfId="0" applyBorder="1"/>
    <xf numFmtId="164" fontId="1" fillId="2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left"/>
    </xf>
    <xf numFmtId="164" fontId="4" fillId="0" borderId="0" xfId="0" applyNumberFormat="1" applyFont="1" applyAlignment="1">
      <alignment horizontal="right" wrapText="1"/>
    </xf>
    <xf numFmtId="164" fontId="0" fillId="0" borderId="1" xfId="0" applyNumberFormat="1" applyBorder="1"/>
    <xf numFmtId="164" fontId="2" fillId="0" borderId="1" xfId="0" applyNumberFormat="1" applyFont="1" applyBorder="1" applyAlignment="1">
      <alignment horizontal="center" vertical="center"/>
    </xf>
    <xf numFmtId="164" fontId="4" fillId="3" borderId="1" xfId="0" applyNumberFormat="1" applyFont="1" applyFill="1" applyBorder="1"/>
    <xf numFmtId="164" fontId="7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X92"/>
  <sheetViews>
    <sheetView workbookViewId="0">
      <selection activeCell="E23" sqref="E2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26953125" customWidth="1"/>
    <col min="5" max="5" width="18.1796875" customWidth="1"/>
    <col min="6" max="6" width="34.81640625" customWidth="1"/>
    <col min="7" max="7" width="11.08984375" customWidth="1"/>
    <col min="8" max="8" width="13.269531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1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2110</v>
      </c>
      <c r="C4" s="6" t="s">
        <v>17</v>
      </c>
      <c r="D4" s="14">
        <f>SUM(B4:B5)</f>
        <v>2395</v>
      </c>
      <c r="E4" s="8">
        <v>1000</v>
      </c>
      <c r="F4" s="8" t="s">
        <v>8</v>
      </c>
      <c r="G4" s="9">
        <v>45913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285</v>
      </c>
      <c r="C5" s="6" t="s">
        <v>18</v>
      </c>
      <c r="D5" s="8"/>
      <c r="E5" s="7">
        <v>100</v>
      </c>
      <c r="F5" s="8" t="s">
        <v>9</v>
      </c>
      <c r="G5" s="9">
        <v>45913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6"/>
      <c r="C6" s="6"/>
      <c r="D6" s="8"/>
      <c r="E6" s="7">
        <v>40</v>
      </c>
      <c r="F6" s="8" t="s">
        <v>12</v>
      </c>
      <c r="G6" s="9">
        <v>45914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60</v>
      </c>
      <c r="F7" s="8" t="s">
        <v>13</v>
      </c>
      <c r="G7" s="9">
        <v>45914</v>
      </c>
      <c r="H7" s="6"/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100</v>
      </c>
      <c r="F8" s="8" t="s">
        <v>14</v>
      </c>
      <c r="G8" s="9">
        <v>45914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20</v>
      </c>
      <c r="F9" s="8" t="s">
        <v>11</v>
      </c>
      <c r="G9" s="9">
        <v>45914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100</v>
      </c>
      <c r="F10" s="8" t="s">
        <v>5</v>
      </c>
      <c r="G10" s="9">
        <v>45917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8"/>
      <c r="E11" s="8">
        <v>100</v>
      </c>
      <c r="F11" s="8" t="s">
        <v>19</v>
      </c>
      <c r="G11" s="10">
        <v>45919</v>
      </c>
      <c r="H11" s="6"/>
      <c r="I11" s="5"/>
      <c r="J11" s="5">
        <v>0</v>
      </c>
      <c r="K11" s="5" t="s">
        <v>26</v>
      </c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8"/>
      <c r="E12" s="8">
        <v>100</v>
      </c>
      <c r="F12" s="8" t="s">
        <v>20</v>
      </c>
      <c r="G12" s="10">
        <v>45919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8"/>
      <c r="E13" s="15">
        <v>300</v>
      </c>
      <c r="F13" s="8" t="s">
        <v>21</v>
      </c>
      <c r="G13" s="8"/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90</v>
      </c>
      <c r="F14" s="6" t="s">
        <v>22</v>
      </c>
      <c r="G14" s="6"/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6">
        <v>80</v>
      </c>
      <c r="F15" s="6" t="s">
        <v>23</v>
      </c>
      <c r="G15" s="6"/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>
        <v>100</v>
      </c>
      <c r="F16" s="16" t="s">
        <v>24</v>
      </c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55</v>
      </c>
      <c r="F17" s="6" t="s">
        <v>25</v>
      </c>
      <c r="G17" s="6"/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14">
        <f>SUM(E4:E17)</f>
        <v>2245</v>
      </c>
      <c r="F18" s="6"/>
      <c r="G18" s="6"/>
      <c r="H18" s="13">
        <f>D4-E18</f>
        <v>150</v>
      </c>
      <c r="I18" s="5" t="s">
        <v>15</v>
      </c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 t="s">
        <v>10</v>
      </c>
      <c r="C19" s="6"/>
      <c r="D19" s="13">
        <f>SUM(E18:H18)</f>
        <v>2395</v>
      </c>
      <c r="E19" s="6"/>
      <c r="F19" s="6"/>
      <c r="G19" s="6"/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8EBF9-3FF0-4226-BA71-7DF463DFD99B}">
  <dimension ref="B2:X114"/>
  <sheetViews>
    <sheetView workbookViewId="0">
      <selection activeCell="E13" sqref="E1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45</v>
      </c>
      <c r="D4" s="14">
        <f>SUM(B4:B9)</f>
        <v>4282.22</v>
      </c>
      <c r="E4" s="8">
        <v>200</v>
      </c>
      <c r="F4" s="8" t="s">
        <v>27</v>
      </c>
      <c r="G4" s="9">
        <v>44839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150</v>
      </c>
      <c r="C5" s="6" t="s">
        <v>18</v>
      </c>
      <c r="D5" s="8"/>
      <c r="E5" s="7">
        <v>30</v>
      </c>
      <c r="F5" s="8" t="s">
        <v>28</v>
      </c>
      <c r="G5" s="9">
        <v>44839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2110</v>
      </c>
      <c r="C6" s="6" t="s">
        <v>46</v>
      </c>
      <c r="D6" s="8"/>
      <c r="E6" s="7">
        <v>50</v>
      </c>
      <c r="F6" s="8" t="s">
        <v>29</v>
      </c>
      <c r="G6" s="9">
        <v>44839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20</v>
      </c>
      <c r="F7" s="8" t="s">
        <v>33</v>
      </c>
      <c r="G7" s="9">
        <v>44839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20</v>
      </c>
      <c r="F8" s="8" t="s">
        <v>30</v>
      </c>
      <c r="G8" s="9">
        <v>44840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250</v>
      </c>
      <c r="F9" s="8" t="s">
        <v>31</v>
      </c>
      <c r="G9" s="9">
        <v>44840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70</v>
      </c>
      <c r="F10" s="8" t="s">
        <v>32</v>
      </c>
      <c r="G10" s="9">
        <v>44840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ht="14.5" customHeight="1" x14ac:dyDescent="0.35">
      <c r="B11" s="6"/>
      <c r="C11" s="6"/>
      <c r="D11" s="8"/>
      <c r="E11" s="7">
        <v>30</v>
      </c>
      <c r="F11" s="8" t="s">
        <v>29</v>
      </c>
      <c r="G11" s="9">
        <v>44842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ht="14.5" customHeight="1" x14ac:dyDescent="0.35">
      <c r="B12" s="6"/>
      <c r="C12" s="6"/>
      <c r="D12" s="8"/>
      <c r="E12" s="7">
        <v>50</v>
      </c>
      <c r="F12" s="6" t="s">
        <v>37</v>
      </c>
      <c r="G12" s="9">
        <v>44843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ht="14.5" customHeight="1" x14ac:dyDescent="0.35">
      <c r="B13" s="6"/>
      <c r="C13" s="6"/>
      <c r="D13" s="8"/>
      <c r="E13" s="8">
        <v>48</v>
      </c>
      <c r="F13" s="8" t="s">
        <v>35</v>
      </c>
      <c r="G13" s="9">
        <v>44843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ht="14.5" customHeight="1" x14ac:dyDescent="0.35">
      <c r="B14" s="6"/>
      <c r="C14" s="6"/>
      <c r="D14" s="8"/>
      <c r="E14" s="7">
        <v>50</v>
      </c>
      <c r="F14" s="6" t="s">
        <v>37</v>
      </c>
      <c r="G14" s="9">
        <v>44844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8"/>
      <c r="E15" s="8">
        <v>40</v>
      </c>
      <c r="F15" s="8" t="s">
        <v>34</v>
      </c>
      <c r="G15" s="9">
        <v>44846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8"/>
      <c r="E16" s="8">
        <v>60</v>
      </c>
      <c r="F16" s="8" t="s">
        <v>36</v>
      </c>
      <c r="G16" s="9">
        <v>44846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8"/>
      <c r="E17" s="6">
        <v>30</v>
      </c>
      <c r="F17" s="6" t="s">
        <v>29</v>
      </c>
      <c r="G17" s="9">
        <v>44847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8"/>
      <c r="E18" s="6">
        <v>150</v>
      </c>
      <c r="F18" s="6" t="s">
        <v>38</v>
      </c>
      <c r="G18" s="9">
        <v>44848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100</v>
      </c>
      <c r="F19" s="17" t="s">
        <v>39</v>
      </c>
      <c r="G19" s="9">
        <v>44849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50</v>
      </c>
      <c r="F20" s="6" t="s">
        <v>37</v>
      </c>
      <c r="G20" s="9">
        <v>44849</v>
      </c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540</v>
      </c>
      <c r="F21" s="6" t="s">
        <v>41</v>
      </c>
      <c r="G21" s="9">
        <v>44852</v>
      </c>
      <c r="H21" s="6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100</v>
      </c>
      <c r="F22" s="6" t="s">
        <v>42</v>
      </c>
      <c r="G22" s="9">
        <v>44852</v>
      </c>
      <c r="H22" s="6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50</v>
      </c>
      <c r="F23" s="6" t="s">
        <v>49</v>
      </c>
      <c r="G23" s="9">
        <v>44852</v>
      </c>
      <c r="H23" s="6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200</v>
      </c>
      <c r="F24" s="6" t="s">
        <v>37</v>
      </c>
      <c r="G24" s="9">
        <v>44852</v>
      </c>
      <c r="H24" s="6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60</v>
      </c>
      <c r="F25" s="6" t="s">
        <v>43</v>
      </c>
      <c r="G25" s="9">
        <v>44853</v>
      </c>
      <c r="H25" s="6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100</v>
      </c>
      <c r="F26" s="6" t="s">
        <v>48</v>
      </c>
      <c r="G26" s="9">
        <v>44854</v>
      </c>
      <c r="H26" s="6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35</v>
      </c>
      <c r="F27" s="6" t="s">
        <v>44</v>
      </c>
      <c r="G27" s="9">
        <v>44855</v>
      </c>
      <c r="H27" s="6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30</v>
      </c>
      <c r="F28" s="6" t="s">
        <v>47</v>
      </c>
      <c r="G28" s="9">
        <v>44859</v>
      </c>
      <c r="H28" s="6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184</v>
      </c>
      <c r="F29" s="6" t="s">
        <v>40</v>
      </c>
      <c r="G29" s="9">
        <v>44863</v>
      </c>
      <c r="H29" s="6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20</v>
      </c>
      <c r="F30" s="6" t="s">
        <v>51</v>
      </c>
      <c r="G30" s="9">
        <v>44863</v>
      </c>
      <c r="H30" s="6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20</v>
      </c>
      <c r="F31" s="6" t="s">
        <v>52</v>
      </c>
      <c r="G31" s="9">
        <v>44864</v>
      </c>
      <c r="H31" s="6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10</v>
      </c>
      <c r="F32" s="6" t="s">
        <v>54</v>
      </c>
      <c r="G32" s="9">
        <v>44865</v>
      </c>
      <c r="H32" s="6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19">
        <v>50</v>
      </c>
      <c r="F33" s="6" t="s">
        <v>37</v>
      </c>
      <c r="G33" s="9">
        <v>44865</v>
      </c>
      <c r="H33" s="6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19">
        <v>30</v>
      </c>
      <c r="F34" s="6" t="s">
        <v>55</v>
      </c>
      <c r="G34" s="9">
        <v>45964</v>
      </c>
      <c r="H34" s="6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200</v>
      </c>
      <c r="F35" s="6" t="s">
        <v>27</v>
      </c>
      <c r="G35" s="9">
        <v>45964</v>
      </c>
      <c r="H35" s="6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6">
        <v>150</v>
      </c>
      <c r="F36" s="6" t="s">
        <v>37</v>
      </c>
      <c r="G36" s="9">
        <v>45964</v>
      </c>
      <c r="H36" s="6"/>
      <c r="I36" s="5"/>
      <c r="J36" s="5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/>
      <c r="C37" s="6"/>
      <c r="D37" s="6"/>
      <c r="E37" s="6">
        <v>15</v>
      </c>
      <c r="F37" s="6" t="s">
        <v>56</v>
      </c>
      <c r="G37" s="9">
        <v>45964</v>
      </c>
      <c r="H37" s="6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6"/>
      <c r="C38" s="6"/>
      <c r="D38" s="6"/>
      <c r="E38" s="6">
        <v>10</v>
      </c>
      <c r="F38" s="6" t="s">
        <v>57</v>
      </c>
      <c r="G38" s="9"/>
      <c r="H38" s="6"/>
      <c r="I38" s="5"/>
      <c r="J38" s="5"/>
      <c r="K38" s="5"/>
      <c r="L38" s="5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6"/>
      <c r="C39" s="6"/>
      <c r="D39" s="6"/>
      <c r="E39" s="6"/>
      <c r="F39" s="6"/>
      <c r="G39" s="9"/>
      <c r="H39" s="20"/>
      <c r="I39" s="5"/>
      <c r="J39" s="5"/>
      <c r="K39" s="5"/>
      <c r="L39" s="5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6"/>
      <c r="C40" s="6"/>
      <c r="D40" s="6"/>
      <c r="E40" s="14">
        <f>SUM(E4:E39)</f>
        <v>3052</v>
      </c>
      <c r="F40" s="6"/>
      <c r="G40" s="6"/>
      <c r="H40" s="22">
        <f>D4-E40</f>
        <v>1230.2200000000003</v>
      </c>
      <c r="I40" s="23" t="s">
        <v>15</v>
      </c>
      <c r="J40" s="23"/>
      <c r="K40" s="5"/>
      <c r="L40" s="5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6" t="s">
        <v>10</v>
      </c>
      <c r="C41" s="6"/>
      <c r="D41" s="13">
        <f>SUM(E40:H40)</f>
        <v>4282.22</v>
      </c>
      <c r="E41" s="6"/>
      <c r="F41" s="6"/>
      <c r="G41" s="6"/>
      <c r="H41" s="21"/>
      <c r="I41" s="5"/>
      <c r="J41" s="5"/>
      <c r="K41" s="5"/>
      <c r="L41" s="5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 t="s">
        <v>53</v>
      </c>
      <c r="F44" s="1"/>
      <c r="G44" s="1"/>
      <c r="H44" s="1">
        <v>1533.03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2:24" x14ac:dyDescent="0.35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2:24" x14ac:dyDescent="0.35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2:24" x14ac:dyDescent="0.35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2:24" x14ac:dyDescent="0.35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400DD-AFE1-43E8-B2CF-C766C3744FCE}">
  <dimension ref="B2:X110"/>
  <sheetViews>
    <sheetView workbookViewId="0">
      <selection activeCell="G35" sqref="G35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58</v>
      </c>
      <c r="D4" s="14">
        <f>SUM(B4:B7)</f>
        <v>5364.99</v>
      </c>
      <c r="E4" s="8">
        <v>2500</v>
      </c>
      <c r="F4" s="8" t="s">
        <v>60</v>
      </c>
      <c r="G4" s="9">
        <v>45965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1232.7</v>
      </c>
      <c r="C5" s="6" t="s">
        <v>18</v>
      </c>
      <c r="D5" s="8"/>
      <c r="E5" s="7">
        <v>25</v>
      </c>
      <c r="F5" s="8" t="s">
        <v>61</v>
      </c>
      <c r="G5" s="9">
        <v>45965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24">
        <v>2110.0700000000002</v>
      </c>
      <c r="C6" s="6" t="s">
        <v>59</v>
      </c>
      <c r="D6" s="8"/>
      <c r="E6" s="7">
        <v>30</v>
      </c>
      <c r="F6" s="8" t="s">
        <v>29</v>
      </c>
      <c r="G6" s="9">
        <v>45966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27</v>
      </c>
      <c r="F7" s="8" t="s">
        <v>62</v>
      </c>
      <c r="G7" s="9">
        <v>45966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x14ac:dyDescent="0.35">
      <c r="B8" s="6"/>
      <c r="C8" s="6"/>
      <c r="D8" s="6"/>
      <c r="E8" s="6">
        <v>212</v>
      </c>
      <c r="F8" s="8" t="s">
        <v>63</v>
      </c>
      <c r="G8" s="9">
        <v>45966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x14ac:dyDescent="0.35">
      <c r="B9" s="6"/>
      <c r="C9" s="6"/>
      <c r="D9" s="6"/>
      <c r="E9" s="6">
        <v>40</v>
      </c>
      <c r="F9" s="8" t="s">
        <v>65</v>
      </c>
      <c r="G9" s="9">
        <v>45967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47</v>
      </c>
      <c r="F10" s="8" t="s">
        <v>64</v>
      </c>
      <c r="G10" s="9">
        <v>45969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46</v>
      </c>
      <c r="F11" s="8" t="s">
        <v>66</v>
      </c>
      <c r="G11" s="9">
        <v>45970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211</v>
      </c>
      <c r="F12" s="8" t="s">
        <v>67</v>
      </c>
      <c r="G12" s="9">
        <v>45971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19">
        <v>40</v>
      </c>
      <c r="F13" s="8" t="s">
        <v>52</v>
      </c>
      <c r="G13" s="9">
        <v>45971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19">
        <v>30</v>
      </c>
      <c r="F14" s="8" t="s">
        <v>70</v>
      </c>
      <c r="G14" s="9">
        <v>45972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19">
        <v>50</v>
      </c>
      <c r="F15" s="8" t="s">
        <v>69</v>
      </c>
      <c r="G15" s="9">
        <v>45976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19">
        <v>50</v>
      </c>
      <c r="F16" s="8" t="s">
        <v>71</v>
      </c>
      <c r="G16" s="9">
        <v>45978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40</v>
      </c>
      <c r="F17" s="8" t="s">
        <v>52</v>
      </c>
      <c r="G17" s="9">
        <v>45978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100</v>
      </c>
      <c r="F18" s="8" t="s">
        <v>19</v>
      </c>
      <c r="G18" s="9">
        <v>45979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200</v>
      </c>
      <c r="F19" s="8" t="s">
        <v>68</v>
      </c>
      <c r="G19" s="9" t="s">
        <v>73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20</v>
      </c>
      <c r="F20" s="8" t="s">
        <v>71</v>
      </c>
      <c r="G20" s="9">
        <v>45979</v>
      </c>
      <c r="H20" s="6"/>
      <c r="I20" s="5"/>
      <c r="J20" s="5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560</v>
      </c>
      <c r="F21" s="8" t="s">
        <v>72</v>
      </c>
      <c r="G21" s="9">
        <v>45979</v>
      </c>
      <c r="H21" s="20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20</v>
      </c>
      <c r="F22" s="8" t="s">
        <v>29</v>
      </c>
      <c r="G22" s="9">
        <v>45982</v>
      </c>
      <c r="H22" s="20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144</v>
      </c>
      <c r="F23" s="8" t="s">
        <v>74</v>
      </c>
      <c r="G23" s="9">
        <v>45985</v>
      </c>
      <c r="H23" s="20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7</v>
      </c>
      <c r="F24" s="8" t="s">
        <v>54</v>
      </c>
      <c r="G24" s="9">
        <v>45990</v>
      </c>
      <c r="H24" s="20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10</v>
      </c>
      <c r="F25" s="8" t="s">
        <v>29</v>
      </c>
      <c r="G25" s="9">
        <v>45990</v>
      </c>
      <c r="H25" s="20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30</v>
      </c>
      <c r="F26" s="8" t="s">
        <v>29</v>
      </c>
      <c r="G26" s="9">
        <v>45990</v>
      </c>
      <c r="H26" s="20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200</v>
      </c>
      <c r="F27" s="8" t="s">
        <v>37</v>
      </c>
      <c r="G27" s="9">
        <v>45990</v>
      </c>
      <c r="H27" s="20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100</v>
      </c>
      <c r="F28" s="8" t="s">
        <v>75</v>
      </c>
      <c r="G28" s="9" t="s">
        <v>80</v>
      </c>
      <c r="H28" s="20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40</v>
      </c>
      <c r="F29" s="8" t="s">
        <v>79</v>
      </c>
      <c r="G29" s="9" t="s">
        <v>80</v>
      </c>
      <c r="H29" s="20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5</v>
      </c>
      <c r="F30" s="8" t="s">
        <v>78</v>
      </c>
      <c r="G30" s="9" t="s">
        <v>80</v>
      </c>
      <c r="H30" s="20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25</v>
      </c>
      <c r="F31" s="8" t="s">
        <v>81</v>
      </c>
      <c r="G31" s="9">
        <v>45992</v>
      </c>
      <c r="H31" s="20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400</v>
      </c>
      <c r="F32" s="8" t="s">
        <v>76</v>
      </c>
      <c r="G32" s="9">
        <v>45992</v>
      </c>
      <c r="H32" s="20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6">
        <v>15</v>
      </c>
      <c r="F33" s="8" t="s">
        <v>77</v>
      </c>
      <c r="G33" s="9">
        <v>45993</v>
      </c>
      <c r="H33" s="20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6">
        <v>39</v>
      </c>
      <c r="F34" s="8" t="s">
        <v>77</v>
      </c>
      <c r="G34" s="9">
        <v>45993</v>
      </c>
      <c r="H34" s="20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100</v>
      </c>
      <c r="F35" s="8" t="s">
        <v>75</v>
      </c>
      <c r="G35" s="9"/>
      <c r="H35" s="20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14">
        <f>SUM(E4:E35)</f>
        <v>5363</v>
      </c>
      <c r="F36" s="6"/>
      <c r="G36" s="6"/>
      <c r="H36" s="22">
        <f>D4-E36</f>
        <v>1.9899999999997817</v>
      </c>
      <c r="I36" s="23" t="s">
        <v>15</v>
      </c>
      <c r="J36" s="23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 t="s">
        <v>10</v>
      </c>
      <c r="C37" s="6"/>
      <c r="D37" s="13">
        <f>SUM(E36:H36)</f>
        <v>5364.99</v>
      </c>
      <c r="E37" s="6"/>
      <c r="F37" s="6"/>
      <c r="G37" s="6"/>
      <c r="H37" s="21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 t="s">
        <v>53</v>
      </c>
      <c r="F40" s="1"/>
      <c r="G40" s="1"/>
      <c r="H40" s="1">
        <v>1533.03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9B58A-F89F-495A-9616-A935D88CE666}">
  <dimension ref="B2:X105"/>
  <sheetViews>
    <sheetView workbookViewId="0">
      <selection activeCell="G25" sqref="G25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24.632812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  <col min="11" max="11" width="12.90625" customWidth="1"/>
  </cols>
  <sheetData>
    <row r="2" spans="2:24" x14ac:dyDescent="0.35">
      <c r="B2" s="33" t="s">
        <v>0</v>
      </c>
      <c r="C2" s="33"/>
      <c r="D2" s="33"/>
      <c r="E2" s="33"/>
      <c r="F2" s="33"/>
      <c r="G2" s="33"/>
      <c r="H2" s="3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87</v>
      </c>
      <c r="D3" s="12" t="s">
        <v>50</v>
      </c>
      <c r="E3" s="12" t="s">
        <v>85</v>
      </c>
      <c r="F3" s="12" t="s">
        <v>86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2022.57</v>
      </c>
      <c r="C4" s="6" t="s">
        <v>82</v>
      </c>
      <c r="D4" s="14">
        <f>SUM(B4:B9)</f>
        <v>6345.9</v>
      </c>
      <c r="E4" s="8">
        <v>110</v>
      </c>
      <c r="F4" s="8" t="s">
        <v>88</v>
      </c>
      <c r="G4" s="9">
        <v>45991</v>
      </c>
      <c r="H4" s="6">
        <f>(D4-E4)</f>
        <v>6235.9</v>
      </c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0</v>
      </c>
      <c r="C5" s="6" t="s">
        <v>18</v>
      </c>
      <c r="D5" s="8"/>
      <c r="E5" s="7">
        <v>100</v>
      </c>
      <c r="F5" s="8" t="s">
        <v>89</v>
      </c>
      <c r="G5" s="9">
        <v>45994</v>
      </c>
      <c r="H5" s="6">
        <f>H4-E5</f>
        <v>6135.9</v>
      </c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227.2</v>
      </c>
      <c r="C6" s="6" t="s">
        <v>83</v>
      </c>
      <c r="D6" s="8"/>
      <c r="E6" s="7">
        <v>100</v>
      </c>
      <c r="F6" s="8" t="s">
        <v>90</v>
      </c>
      <c r="G6" s="9">
        <v>46030</v>
      </c>
      <c r="H6" s="6">
        <f t="shared" ref="H6:H30" si="0">H5-E6</f>
        <v>6035.9</v>
      </c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13">
        <v>1986.13</v>
      </c>
      <c r="C7" s="6" t="s">
        <v>84</v>
      </c>
      <c r="D7" s="8"/>
      <c r="E7" s="7">
        <v>215</v>
      </c>
      <c r="F7" s="8" t="s">
        <v>91</v>
      </c>
      <c r="G7" s="9">
        <v>46031</v>
      </c>
      <c r="H7" s="6">
        <f t="shared" si="0"/>
        <v>5820.9</v>
      </c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24">
        <v>2110</v>
      </c>
      <c r="C8" s="6" t="s">
        <v>94</v>
      </c>
      <c r="D8" s="8"/>
      <c r="E8" s="7">
        <v>100</v>
      </c>
      <c r="F8" s="8" t="s">
        <v>92</v>
      </c>
      <c r="G8" s="9">
        <v>46032</v>
      </c>
      <c r="H8" s="6">
        <f t="shared" si="0"/>
        <v>5720.9</v>
      </c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40</v>
      </c>
      <c r="F9" s="8" t="s">
        <v>93</v>
      </c>
      <c r="G9" s="9">
        <v>46033</v>
      </c>
      <c r="H9" s="6">
        <f t="shared" si="0"/>
        <v>5680.9</v>
      </c>
      <c r="I9" s="5"/>
      <c r="J9" s="5"/>
      <c r="K9" s="18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50</v>
      </c>
      <c r="F10" s="8" t="s">
        <v>37</v>
      </c>
      <c r="G10" s="9">
        <v>46034</v>
      </c>
      <c r="H10" s="6">
        <f t="shared" si="0"/>
        <v>5630.9</v>
      </c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30</v>
      </c>
      <c r="F11" s="8" t="s">
        <v>49</v>
      </c>
      <c r="G11" s="9">
        <v>46035</v>
      </c>
      <c r="H11" s="6">
        <f t="shared" si="0"/>
        <v>5600.9</v>
      </c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100</v>
      </c>
      <c r="F12" s="8" t="s">
        <v>37</v>
      </c>
      <c r="G12" s="9">
        <v>46036</v>
      </c>
      <c r="H12" s="6">
        <f t="shared" si="0"/>
        <v>5500.9</v>
      </c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6">
        <v>40</v>
      </c>
      <c r="F13" s="8" t="s">
        <v>95</v>
      </c>
      <c r="G13" s="9">
        <v>46371</v>
      </c>
      <c r="H13" s="6">
        <f>H12-E13</f>
        <v>5460.9</v>
      </c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50</v>
      </c>
      <c r="F14" s="8" t="s">
        <v>96</v>
      </c>
      <c r="G14" s="9">
        <v>46373</v>
      </c>
      <c r="H14" s="6">
        <f t="shared" si="0"/>
        <v>5410.9</v>
      </c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19">
        <v>250</v>
      </c>
      <c r="F15" s="16" t="s">
        <v>37</v>
      </c>
      <c r="G15" s="9">
        <v>46374</v>
      </c>
      <c r="H15" s="6">
        <f t="shared" si="0"/>
        <v>5160.8999999999996</v>
      </c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6">
        <v>30</v>
      </c>
      <c r="F16" s="8" t="s">
        <v>99</v>
      </c>
      <c r="G16" s="9">
        <v>46371</v>
      </c>
      <c r="H16" s="6">
        <f t="shared" si="0"/>
        <v>5130.8999999999996</v>
      </c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40</v>
      </c>
      <c r="F17" s="8" t="s">
        <v>98</v>
      </c>
      <c r="G17" s="9">
        <v>46371</v>
      </c>
      <c r="H17" s="6">
        <f>H16-E17</f>
        <v>5090.8999999999996</v>
      </c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1025</v>
      </c>
      <c r="F18" s="8" t="s">
        <v>97</v>
      </c>
      <c r="G18" s="9">
        <v>46376</v>
      </c>
      <c r="H18" s="6">
        <f t="shared" si="0"/>
        <v>4065.8999999999996</v>
      </c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40</v>
      </c>
      <c r="F19" s="8" t="s">
        <v>100</v>
      </c>
      <c r="G19" s="9">
        <v>46376</v>
      </c>
      <c r="H19" s="6">
        <f t="shared" si="0"/>
        <v>4025.8999999999996</v>
      </c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100</v>
      </c>
      <c r="F20" s="8" t="s">
        <v>37</v>
      </c>
      <c r="G20" s="9">
        <v>46376</v>
      </c>
      <c r="H20" s="6">
        <f t="shared" si="0"/>
        <v>3925.8999999999996</v>
      </c>
      <c r="I20" s="5"/>
      <c r="J20" s="5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75</v>
      </c>
      <c r="F21" s="8" t="s">
        <v>101</v>
      </c>
      <c r="G21" s="9">
        <v>46013</v>
      </c>
      <c r="H21" s="6">
        <f>H20-E21</f>
        <v>3850.8999999999996</v>
      </c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230</v>
      </c>
      <c r="F22" s="8" t="s">
        <v>102</v>
      </c>
      <c r="G22" s="9">
        <v>46013</v>
      </c>
      <c r="H22" s="6">
        <f t="shared" si="0"/>
        <v>3620.8999999999996</v>
      </c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115</v>
      </c>
      <c r="F23" s="8" t="s">
        <v>103</v>
      </c>
      <c r="G23" s="9">
        <v>46013</v>
      </c>
      <c r="H23" s="6">
        <f t="shared" si="0"/>
        <v>3505.8999999999996</v>
      </c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300</v>
      </c>
      <c r="F24" s="8" t="s">
        <v>104</v>
      </c>
      <c r="G24" s="9">
        <v>46014</v>
      </c>
      <c r="H24" s="6">
        <f t="shared" si="0"/>
        <v>3205.8999999999996</v>
      </c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650</v>
      </c>
      <c r="F25" s="8" t="s">
        <v>111</v>
      </c>
      <c r="G25" s="9">
        <v>46019</v>
      </c>
      <c r="H25" s="6">
        <f t="shared" si="0"/>
        <v>2555.8999999999996</v>
      </c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250</v>
      </c>
      <c r="F26" s="8" t="s">
        <v>112</v>
      </c>
      <c r="G26" s="9">
        <v>46019</v>
      </c>
      <c r="H26" s="6">
        <f t="shared" si="0"/>
        <v>2305.8999999999996</v>
      </c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30</v>
      </c>
      <c r="F27" s="8" t="s">
        <v>105</v>
      </c>
      <c r="G27" s="9">
        <v>46020</v>
      </c>
      <c r="H27" s="6">
        <f t="shared" si="0"/>
        <v>2275.8999999999996</v>
      </c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100</v>
      </c>
      <c r="F28" s="8" t="s">
        <v>109</v>
      </c>
      <c r="G28" s="9">
        <v>46020</v>
      </c>
      <c r="H28" s="6">
        <f t="shared" si="0"/>
        <v>2175.8999999999996</v>
      </c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45</v>
      </c>
      <c r="F29" s="8" t="s">
        <v>108</v>
      </c>
      <c r="G29" s="9">
        <v>46021</v>
      </c>
      <c r="H29" s="6">
        <f t="shared" si="0"/>
        <v>2130.8999999999996</v>
      </c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40</v>
      </c>
      <c r="F30" s="8" t="s">
        <v>106</v>
      </c>
      <c r="G30" s="9">
        <v>46022</v>
      </c>
      <c r="H30" s="6">
        <f t="shared" si="0"/>
        <v>2090.8999999999996</v>
      </c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14">
        <f>SUM(E4:E30)</f>
        <v>4255</v>
      </c>
      <c r="F31" s="6"/>
      <c r="G31" s="6"/>
      <c r="H31" s="22">
        <f>D4-E31</f>
        <v>2090.8999999999996</v>
      </c>
      <c r="I31" s="34" t="s">
        <v>110</v>
      </c>
      <c r="J31" s="34"/>
      <c r="K31" s="34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 t="s">
        <v>10</v>
      </c>
      <c r="C32" s="6"/>
      <c r="D32" s="13">
        <f>SUM(E31:H31)</f>
        <v>6345.9</v>
      </c>
      <c r="E32" s="6"/>
      <c r="F32" s="6"/>
      <c r="G32" s="6"/>
      <c r="H32" s="21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 t="s">
        <v>53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</sheetData>
  <mergeCells count="2">
    <mergeCell ref="B2:H2"/>
    <mergeCell ref="I31:K31"/>
  </mergeCells>
  <pageMargins left="0.7" right="0.7" top="0.75" bottom="0.75" header="0.3" footer="0.3"/>
  <pageSetup paperSize="0" orientation="portrait" horizontalDpi="180" verticalDpi="18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196E7-8BBE-4BB1-B062-6F807BAF4D7C}">
  <dimension ref="B2:Y112"/>
  <sheetViews>
    <sheetView tabSelected="1" topLeftCell="A30" workbookViewId="0">
      <selection activeCell="G43" sqref="G4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25.453125" customWidth="1"/>
    <col min="4" max="4" width="16.36328125" customWidth="1"/>
    <col min="5" max="5" width="13.7265625" customWidth="1"/>
    <col min="6" max="6" width="18.1796875" style="1" customWidth="1"/>
    <col min="7" max="7" width="34.81640625" customWidth="1"/>
    <col min="8" max="8" width="11.08984375" customWidth="1"/>
    <col min="9" max="9" width="13.26953125" customWidth="1"/>
    <col min="11" max="11" width="11.90625" customWidth="1"/>
    <col min="12" max="12" width="12.90625" customWidth="1"/>
  </cols>
  <sheetData>
    <row r="2" spans="2:25" x14ac:dyDescent="0.35">
      <c r="B2" s="33" t="s">
        <v>0</v>
      </c>
      <c r="C2" s="33"/>
      <c r="D2" s="33"/>
      <c r="E2" s="33"/>
      <c r="F2" s="33"/>
      <c r="G2" s="33"/>
      <c r="H2" s="33"/>
      <c r="I2" s="33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18" customHeight="1" x14ac:dyDescent="0.35">
      <c r="B3" s="26" t="s">
        <v>6</v>
      </c>
      <c r="C3" s="26" t="s">
        <v>87</v>
      </c>
      <c r="D3" s="26" t="s">
        <v>118</v>
      </c>
      <c r="E3" s="27" t="s">
        <v>50</v>
      </c>
      <c r="F3" s="27" t="s">
        <v>85</v>
      </c>
      <c r="G3" s="27" t="s">
        <v>86</v>
      </c>
      <c r="H3" s="27" t="s">
        <v>4</v>
      </c>
      <c r="I3" s="26" t="s">
        <v>7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4.5" customHeight="1" x14ac:dyDescent="0.35">
      <c r="B4" s="13">
        <v>1915.98</v>
      </c>
      <c r="C4" s="6" t="s">
        <v>113</v>
      </c>
      <c r="D4" s="9">
        <v>46017</v>
      </c>
      <c r="E4" s="14">
        <f>SUM(B4:B9)</f>
        <v>6162.57</v>
      </c>
      <c r="F4" s="8">
        <v>30</v>
      </c>
      <c r="G4" s="8" t="s">
        <v>107</v>
      </c>
      <c r="H4" s="9">
        <v>46023</v>
      </c>
      <c r="I4" s="6">
        <f>(E4-F4)</f>
        <v>6132.57</v>
      </c>
      <c r="J4" s="5"/>
      <c r="K4" s="5"/>
      <c r="L4" s="5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4.5" customHeight="1" x14ac:dyDescent="0.35">
      <c r="B5" s="13">
        <v>2090.9</v>
      </c>
      <c r="C5" s="6" t="s">
        <v>18</v>
      </c>
      <c r="D5" s="9">
        <v>46024</v>
      </c>
      <c r="E5" s="8"/>
      <c r="F5" s="7">
        <v>150</v>
      </c>
      <c r="G5" s="8" t="s">
        <v>136</v>
      </c>
      <c r="H5" s="9">
        <v>46024</v>
      </c>
      <c r="I5" s="6">
        <f>I4-F5</f>
        <v>5982.57</v>
      </c>
      <c r="J5" s="5"/>
      <c r="K5" s="5"/>
      <c r="L5" s="5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14.5" customHeight="1" x14ac:dyDescent="0.35">
      <c r="B6" s="13">
        <v>20</v>
      </c>
      <c r="C6" s="6" t="s">
        <v>117</v>
      </c>
      <c r="D6" s="9">
        <v>46024</v>
      </c>
      <c r="E6" s="8"/>
      <c r="F6" s="7">
        <v>200</v>
      </c>
      <c r="G6" s="8" t="s">
        <v>137</v>
      </c>
      <c r="H6" s="9">
        <v>46025</v>
      </c>
      <c r="I6" s="6">
        <f>I5-F6</f>
        <v>5782.57</v>
      </c>
      <c r="J6" s="5"/>
      <c r="K6" s="5"/>
      <c r="L6" s="5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2:25" ht="14.5" customHeight="1" x14ac:dyDescent="0.35">
      <c r="B7" s="24">
        <v>2135.69</v>
      </c>
      <c r="C7" s="6" t="s">
        <v>115</v>
      </c>
      <c r="D7" s="6"/>
      <c r="E7" s="8"/>
      <c r="F7" s="32">
        <v>50</v>
      </c>
      <c r="G7" s="8" t="s">
        <v>138</v>
      </c>
      <c r="H7" s="9">
        <v>46025</v>
      </c>
      <c r="I7" s="6">
        <f>I6-F7</f>
        <v>5732.57</v>
      </c>
      <c r="J7" s="5"/>
      <c r="K7" s="5"/>
      <c r="L7" s="5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ht="14.5" customHeight="1" x14ac:dyDescent="0.35">
      <c r="B8" s="13"/>
      <c r="C8" s="6"/>
      <c r="D8" s="6"/>
      <c r="E8" s="8"/>
      <c r="F8" s="7">
        <v>127</v>
      </c>
      <c r="G8" s="8" t="s">
        <v>139</v>
      </c>
      <c r="H8" s="9">
        <v>46025</v>
      </c>
      <c r="I8" s="6">
        <f t="shared" ref="I8:I14" si="0">I7-F8</f>
        <v>5605.57</v>
      </c>
      <c r="J8" s="5"/>
      <c r="K8" s="5"/>
      <c r="L8" s="5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ht="14.5" customHeight="1" x14ac:dyDescent="0.35">
      <c r="B9" s="6"/>
      <c r="C9" s="6"/>
      <c r="D9" s="6"/>
      <c r="E9" s="8"/>
      <c r="F9" s="7">
        <v>0</v>
      </c>
      <c r="G9" s="8" t="s">
        <v>140</v>
      </c>
      <c r="H9" s="9">
        <v>46025</v>
      </c>
      <c r="I9" s="6">
        <f t="shared" si="0"/>
        <v>5605.57</v>
      </c>
      <c r="J9" s="5"/>
      <c r="K9" s="5"/>
      <c r="L9" s="18"/>
      <c r="M9" s="5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x14ac:dyDescent="0.35">
      <c r="B10" s="6"/>
      <c r="C10" s="6"/>
      <c r="D10" s="6"/>
      <c r="E10" s="6"/>
      <c r="F10" s="6">
        <v>0</v>
      </c>
      <c r="G10" s="8" t="s">
        <v>141</v>
      </c>
      <c r="H10" s="9">
        <v>46025</v>
      </c>
      <c r="I10" s="6">
        <f t="shared" si="0"/>
        <v>5605.57</v>
      </c>
      <c r="J10" s="5"/>
      <c r="K10" s="5"/>
      <c r="L10" s="5"/>
      <c r="M10" s="5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x14ac:dyDescent="0.35">
      <c r="B11" s="6"/>
      <c r="C11" s="6"/>
      <c r="D11" s="6"/>
      <c r="E11" s="6"/>
      <c r="F11" s="6">
        <v>35</v>
      </c>
      <c r="G11" s="8" t="s">
        <v>78</v>
      </c>
      <c r="H11" s="9">
        <v>46025</v>
      </c>
      <c r="I11" s="6">
        <f t="shared" si="0"/>
        <v>5570.57</v>
      </c>
      <c r="J11" s="5"/>
      <c r="K11" s="5"/>
      <c r="L11" s="5"/>
      <c r="M11" s="5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x14ac:dyDescent="0.35">
      <c r="B12" s="6"/>
      <c r="C12" s="6"/>
      <c r="D12" s="6"/>
      <c r="E12" s="6"/>
      <c r="F12" s="6">
        <v>50</v>
      </c>
      <c r="G12" s="8" t="s">
        <v>136</v>
      </c>
      <c r="H12" s="9">
        <v>46027</v>
      </c>
      <c r="I12" s="6">
        <f t="shared" si="0"/>
        <v>5520.57</v>
      </c>
      <c r="J12" s="5"/>
      <c r="K12" s="5"/>
      <c r="L12" s="5"/>
      <c r="M12" s="5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x14ac:dyDescent="0.35">
      <c r="B13" s="6"/>
      <c r="C13" s="6"/>
      <c r="D13" s="6"/>
      <c r="E13" s="6"/>
      <c r="F13" s="6">
        <v>30</v>
      </c>
      <c r="G13" s="8" t="s">
        <v>142</v>
      </c>
      <c r="H13" s="9">
        <v>46027</v>
      </c>
      <c r="I13" s="6">
        <f t="shared" si="0"/>
        <v>5490.57</v>
      </c>
      <c r="J13" s="5"/>
      <c r="K13" s="5"/>
      <c r="L13" s="5"/>
      <c r="M13" s="5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x14ac:dyDescent="0.35">
      <c r="B14" s="6"/>
      <c r="C14" s="6"/>
      <c r="D14" s="6"/>
      <c r="E14" s="6"/>
      <c r="F14" s="6">
        <v>100</v>
      </c>
      <c r="G14" s="8" t="s">
        <v>136</v>
      </c>
      <c r="H14" s="9">
        <v>46028</v>
      </c>
      <c r="I14" s="6">
        <f t="shared" si="0"/>
        <v>5390.57</v>
      </c>
      <c r="J14" s="5"/>
      <c r="K14" s="5"/>
      <c r="L14" s="5"/>
      <c r="M14" s="5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x14ac:dyDescent="0.35">
      <c r="B15" s="6"/>
      <c r="C15" s="6"/>
      <c r="D15" s="6"/>
      <c r="E15" s="6"/>
      <c r="F15" s="6">
        <v>50</v>
      </c>
      <c r="G15" s="8" t="s">
        <v>143</v>
      </c>
      <c r="H15" s="9">
        <v>46028</v>
      </c>
      <c r="I15" s="6">
        <f>I14-F15</f>
        <v>5340.57</v>
      </c>
      <c r="J15" s="5"/>
      <c r="K15" s="5"/>
      <c r="L15" s="5"/>
      <c r="M15" s="5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x14ac:dyDescent="0.35">
      <c r="B16" s="6"/>
      <c r="C16" s="6"/>
      <c r="D16" s="6"/>
      <c r="E16" s="6"/>
      <c r="F16" s="6">
        <v>145</v>
      </c>
      <c r="G16" s="8" t="s">
        <v>144</v>
      </c>
      <c r="H16" s="9">
        <v>46028</v>
      </c>
      <c r="I16" s="6">
        <f>I15-F16</f>
        <v>5195.57</v>
      </c>
      <c r="J16" s="5"/>
      <c r="K16" s="5"/>
      <c r="L16" s="5"/>
      <c r="M16" s="5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x14ac:dyDescent="0.35">
      <c r="B17" s="6"/>
      <c r="C17" s="6"/>
      <c r="D17" s="6"/>
      <c r="E17" s="6"/>
      <c r="F17" s="1">
        <v>50</v>
      </c>
      <c r="G17" s="8" t="s">
        <v>145</v>
      </c>
      <c r="H17" s="9">
        <v>46028</v>
      </c>
      <c r="I17" s="6">
        <f t="shared" ref="I17:I36" si="1">I16-F17</f>
        <v>5145.57</v>
      </c>
      <c r="J17" s="5"/>
      <c r="K17" s="5"/>
      <c r="L17" s="5"/>
      <c r="M17" s="5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x14ac:dyDescent="0.35">
      <c r="B18" s="6"/>
      <c r="C18" s="6"/>
      <c r="D18" s="6"/>
      <c r="E18" s="6"/>
      <c r="F18" s="32">
        <v>20</v>
      </c>
      <c r="G18" s="8" t="s">
        <v>146</v>
      </c>
      <c r="H18" s="9">
        <v>46031</v>
      </c>
      <c r="I18" s="6">
        <f t="shared" si="1"/>
        <v>5125.57</v>
      </c>
      <c r="J18" s="5"/>
      <c r="K18" s="5"/>
      <c r="L18" s="5"/>
      <c r="M18" s="5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x14ac:dyDescent="0.35">
      <c r="B19" s="6"/>
      <c r="C19" s="6"/>
      <c r="D19" s="6"/>
      <c r="E19" s="6"/>
      <c r="F19" s="32">
        <v>30</v>
      </c>
      <c r="G19" s="8" t="s">
        <v>147</v>
      </c>
      <c r="H19" s="9">
        <v>46032</v>
      </c>
      <c r="I19" s="6">
        <f t="shared" si="1"/>
        <v>5095.57</v>
      </c>
      <c r="J19" s="5"/>
      <c r="K19" s="5"/>
      <c r="L19" s="5"/>
      <c r="M19" s="5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x14ac:dyDescent="0.35">
      <c r="B20" s="6"/>
      <c r="C20" s="6"/>
      <c r="D20" s="6"/>
      <c r="E20" s="6"/>
      <c r="F20" s="32">
        <v>100</v>
      </c>
      <c r="G20" s="8" t="s">
        <v>37</v>
      </c>
      <c r="H20" s="9">
        <v>46032</v>
      </c>
      <c r="I20" s="6">
        <f t="shared" si="1"/>
        <v>4995.57</v>
      </c>
      <c r="J20" s="5"/>
      <c r="K20" s="5"/>
      <c r="L20" s="5"/>
      <c r="M20" s="5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x14ac:dyDescent="0.35">
      <c r="B21" s="6"/>
      <c r="C21" s="6"/>
      <c r="D21" s="6"/>
      <c r="E21" s="6"/>
      <c r="F21" s="32">
        <v>50</v>
      </c>
      <c r="G21" s="8" t="s">
        <v>107</v>
      </c>
      <c r="H21" s="9">
        <v>46033</v>
      </c>
      <c r="I21" s="6">
        <f t="shared" si="1"/>
        <v>4945.57</v>
      </c>
      <c r="J21" s="5"/>
      <c r="K21" s="5"/>
      <c r="L21" s="5"/>
      <c r="M21" s="5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x14ac:dyDescent="0.35">
      <c r="B22" s="6"/>
      <c r="C22" s="6"/>
      <c r="D22" s="6"/>
      <c r="E22" s="6"/>
      <c r="F22" s="32">
        <v>150</v>
      </c>
      <c r="G22" s="8" t="s">
        <v>148</v>
      </c>
      <c r="H22" s="9">
        <v>46034</v>
      </c>
      <c r="I22" s="6">
        <f t="shared" si="1"/>
        <v>4795.57</v>
      </c>
      <c r="J22" s="5"/>
      <c r="K22" s="5"/>
      <c r="L22" s="5"/>
      <c r="M22" s="5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x14ac:dyDescent="0.35">
      <c r="B23" s="6"/>
      <c r="C23" s="6"/>
      <c r="D23" s="6"/>
      <c r="E23" s="6"/>
      <c r="F23" s="32">
        <v>2100</v>
      </c>
      <c r="G23" s="8" t="s">
        <v>149</v>
      </c>
      <c r="H23" s="9">
        <v>46034</v>
      </c>
      <c r="I23" s="6">
        <f t="shared" si="1"/>
        <v>2695.5699999999997</v>
      </c>
      <c r="J23" s="5"/>
      <c r="K23" s="5"/>
      <c r="L23" s="5"/>
      <c r="M23" s="5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x14ac:dyDescent="0.35">
      <c r="B24" s="6"/>
      <c r="C24" s="6"/>
      <c r="D24" s="6"/>
      <c r="E24" s="6"/>
      <c r="F24" s="6">
        <v>40</v>
      </c>
      <c r="G24" s="8" t="s">
        <v>70</v>
      </c>
      <c r="H24" s="9">
        <v>46034</v>
      </c>
      <c r="I24" s="6">
        <f t="shared" si="1"/>
        <v>2655.5699999999997</v>
      </c>
      <c r="J24" s="5"/>
      <c r="K24" s="5"/>
      <c r="L24" s="5"/>
      <c r="M24" s="5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x14ac:dyDescent="0.35">
      <c r="B25" s="6"/>
      <c r="C25" s="6"/>
      <c r="D25" s="6"/>
      <c r="E25" s="6"/>
      <c r="F25" s="6">
        <v>100</v>
      </c>
      <c r="G25" s="8" t="s">
        <v>37</v>
      </c>
      <c r="H25" s="9">
        <v>46035</v>
      </c>
      <c r="I25" s="6">
        <f t="shared" si="1"/>
        <v>2555.5699999999997</v>
      </c>
      <c r="J25" s="5"/>
      <c r="K25" s="5"/>
      <c r="L25" s="5"/>
      <c r="M25" s="5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x14ac:dyDescent="0.35">
      <c r="B26" s="6"/>
      <c r="C26" s="6"/>
      <c r="D26" s="6"/>
      <c r="E26" s="6"/>
      <c r="F26" s="6">
        <v>60</v>
      </c>
      <c r="G26" s="8" t="s">
        <v>150</v>
      </c>
      <c r="H26" s="9">
        <v>46035</v>
      </c>
      <c r="I26" s="6">
        <f t="shared" si="1"/>
        <v>2495.5699999999997</v>
      </c>
      <c r="J26" s="5"/>
      <c r="K26" s="5"/>
      <c r="L26" s="5"/>
      <c r="M26" s="5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x14ac:dyDescent="0.35">
      <c r="B27" s="6"/>
      <c r="C27" s="6"/>
      <c r="D27" s="6"/>
      <c r="E27" s="6"/>
      <c r="F27" s="6">
        <v>70</v>
      </c>
      <c r="G27" s="8" t="s">
        <v>151</v>
      </c>
      <c r="H27" s="9">
        <v>46035</v>
      </c>
      <c r="I27" s="6">
        <f t="shared" si="1"/>
        <v>2425.5699999999997</v>
      </c>
      <c r="J27" s="5"/>
      <c r="K27" s="5"/>
      <c r="L27" s="5"/>
      <c r="M27" s="5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x14ac:dyDescent="0.35">
      <c r="B28" s="6"/>
      <c r="C28" s="6"/>
      <c r="D28" s="6"/>
      <c r="E28" s="6"/>
      <c r="F28" s="6">
        <v>50</v>
      </c>
      <c r="G28" s="8" t="s">
        <v>152</v>
      </c>
      <c r="H28" s="9">
        <v>46035</v>
      </c>
      <c r="I28" s="6">
        <f t="shared" si="1"/>
        <v>2375.5699999999997</v>
      </c>
      <c r="J28" s="5"/>
      <c r="K28" s="5"/>
      <c r="L28" s="5"/>
      <c r="M28" s="5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x14ac:dyDescent="0.35">
      <c r="B29" s="6"/>
      <c r="C29" s="6"/>
      <c r="D29" s="6"/>
      <c r="E29" s="6"/>
      <c r="F29" s="6">
        <v>281</v>
      </c>
      <c r="G29" s="8" t="s">
        <v>153</v>
      </c>
      <c r="H29" s="9">
        <v>46037</v>
      </c>
      <c r="I29" s="6">
        <f t="shared" si="1"/>
        <v>2094.5699999999997</v>
      </c>
      <c r="J29" s="5"/>
      <c r="K29" s="5"/>
      <c r="L29" s="5"/>
      <c r="M29" s="5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x14ac:dyDescent="0.35">
      <c r="B30" s="6"/>
      <c r="C30" s="6"/>
      <c r="D30" s="6"/>
      <c r="E30" s="6"/>
      <c r="F30" s="6">
        <v>10</v>
      </c>
      <c r="G30" s="8" t="s">
        <v>142</v>
      </c>
      <c r="H30" s="9">
        <v>46038</v>
      </c>
      <c r="I30" s="6">
        <f t="shared" si="1"/>
        <v>2084.5699999999997</v>
      </c>
      <c r="J30" s="5"/>
      <c r="K30" s="5"/>
      <c r="L30" s="5"/>
      <c r="M30" s="5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x14ac:dyDescent="0.35">
      <c r="B31" s="6"/>
      <c r="C31" s="6"/>
      <c r="D31" s="6"/>
      <c r="E31" s="6"/>
      <c r="F31" s="6">
        <v>15</v>
      </c>
      <c r="G31" s="8" t="s">
        <v>154</v>
      </c>
      <c r="H31" s="9">
        <v>46039</v>
      </c>
      <c r="I31" s="6">
        <f t="shared" si="1"/>
        <v>2069.5699999999997</v>
      </c>
      <c r="J31" s="5"/>
      <c r="K31" s="5"/>
      <c r="L31" s="5"/>
      <c r="M31" s="5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x14ac:dyDescent="0.35">
      <c r="B32" s="6"/>
      <c r="C32" s="6"/>
      <c r="D32" s="6"/>
      <c r="E32" s="6"/>
      <c r="F32" s="6">
        <v>135</v>
      </c>
      <c r="G32" s="8" t="s">
        <v>155</v>
      </c>
      <c r="H32" s="9">
        <v>46039</v>
      </c>
      <c r="I32" s="6">
        <f t="shared" si="1"/>
        <v>1934.5699999999997</v>
      </c>
      <c r="J32" s="5"/>
      <c r="K32" s="5"/>
      <c r="L32" s="5"/>
      <c r="M32" s="5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x14ac:dyDescent="0.35">
      <c r="B33" s="6"/>
      <c r="C33" s="6"/>
      <c r="D33" s="6"/>
      <c r="E33" s="6"/>
      <c r="F33" s="6">
        <v>18</v>
      </c>
      <c r="G33" s="8" t="s">
        <v>156</v>
      </c>
      <c r="H33" s="9">
        <v>46039</v>
      </c>
      <c r="I33" s="6">
        <f t="shared" si="1"/>
        <v>1916.5699999999997</v>
      </c>
      <c r="J33" s="5"/>
      <c r="K33" s="5"/>
      <c r="L33" s="5"/>
      <c r="M33" s="5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x14ac:dyDescent="0.35">
      <c r="B34" s="6"/>
      <c r="C34" s="6"/>
      <c r="D34" s="6"/>
      <c r="E34" s="6"/>
      <c r="F34" s="6">
        <v>34</v>
      </c>
      <c r="G34" s="8" t="s">
        <v>147</v>
      </c>
      <c r="H34" s="9">
        <v>46039</v>
      </c>
      <c r="I34" s="6">
        <f t="shared" si="1"/>
        <v>1882.5699999999997</v>
      </c>
      <c r="J34" s="5"/>
      <c r="K34" s="5"/>
      <c r="L34" s="5"/>
      <c r="M34" s="5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x14ac:dyDescent="0.35">
      <c r="B35" s="6"/>
      <c r="C35" s="6"/>
      <c r="D35" s="6"/>
      <c r="E35" s="6"/>
      <c r="F35" s="6">
        <v>60</v>
      </c>
      <c r="G35" s="8" t="s">
        <v>157</v>
      </c>
      <c r="H35" s="9">
        <v>46039</v>
      </c>
      <c r="I35" s="6">
        <f t="shared" si="1"/>
        <v>1822.5699999999997</v>
      </c>
      <c r="J35" s="5"/>
      <c r="K35" s="5"/>
      <c r="L35" s="5"/>
      <c r="M35" s="5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x14ac:dyDescent="0.35">
      <c r="B36" s="6"/>
      <c r="C36" s="6"/>
      <c r="D36" s="6"/>
      <c r="E36" s="6"/>
      <c r="F36" s="6">
        <v>20</v>
      </c>
      <c r="G36" s="8" t="s">
        <v>158</v>
      </c>
      <c r="H36" s="9">
        <v>46039</v>
      </c>
      <c r="I36" s="6">
        <f t="shared" si="1"/>
        <v>1802.5699999999997</v>
      </c>
      <c r="J36" s="5"/>
      <c r="K36" s="5"/>
      <c r="L36" s="5"/>
      <c r="M36" s="5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x14ac:dyDescent="0.35">
      <c r="B37" s="6"/>
      <c r="C37" s="6"/>
      <c r="D37" s="6"/>
      <c r="E37" s="6"/>
      <c r="F37" s="6"/>
      <c r="G37" s="25"/>
      <c r="H37" s="9"/>
      <c r="I37" s="20"/>
      <c r="J37" s="5"/>
      <c r="K37" s="5"/>
      <c r="L37" s="5"/>
      <c r="M37" s="5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x14ac:dyDescent="0.35">
      <c r="B38" s="6" t="s">
        <v>116</v>
      </c>
      <c r="C38" s="6"/>
      <c r="D38" s="6"/>
      <c r="E38" s="6"/>
      <c r="F38" s="14">
        <f>SUM(F4:F37)</f>
        <v>4360</v>
      </c>
      <c r="G38" s="8"/>
      <c r="H38" s="6"/>
      <c r="I38" s="22">
        <f>E4-F38</f>
        <v>1802.5699999999997</v>
      </c>
      <c r="J38" s="34" t="s">
        <v>110</v>
      </c>
      <c r="K38" s="34"/>
      <c r="L38" s="34"/>
      <c r="M38" s="5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x14ac:dyDescent="0.35">
      <c r="B39" s="6" t="s">
        <v>10</v>
      </c>
      <c r="C39" s="6"/>
      <c r="D39" s="6"/>
      <c r="E39" s="13">
        <f>SUM(F38:I38)</f>
        <v>6162.57</v>
      </c>
      <c r="F39" s="6"/>
      <c r="G39" s="6"/>
      <c r="H39" s="6"/>
      <c r="I39" s="21"/>
      <c r="J39" s="5"/>
      <c r="K39" s="5"/>
      <c r="L39" s="5"/>
      <c r="M39" s="5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x14ac:dyDescent="0.35">
      <c r="B40" s="1"/>
      <c r="C40" s="1"/>
      <c r="D40" s="1"/>
      <c r="E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x14ac:dyDescent="0.35">
      <c r="B41" s="1"/>
      <c r="C41" s="1"/>
      <c r="D41" s="1"/>
      <c r="E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x14ac:dyDescent="0.35">
      <c r="B42" s="1"/>
      <c r="C42" s="1"/>
      <c r="D42" s="1"/>
      <c r="E42" s="1"/>
      <c r="F42" s="1" t="s">
        <v>53</v>
      </c>
      <c r="G42" s="1"/>
      <c r="H42" s="1"/>
      <c r="I42" s="1">
        <v>1533.03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x14ac:dyDescent="0.35">
      <c r="B43" s="1"/>
      <c r="C43" s="1"/>
      <c r="D43" s="1"/>
      <c r="E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x14ac:dyDescent="0.35">
      <c r="B44" s="1"/>
      <c r="C44" s="1"/>
      <c r="D44" s="1"/>
      <c r="E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x14ac:dyDescent="0.35">
      <c r="B45" s="1"/>
      <c r="C45" s="1"/>
      <c r="D45" s="1"/>
      <c r="E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x14ac:dyDescent="0.35">
      <c r="B46" s="1"/>
      <c r="C46" s="1"/>
      <c r="D46" s="1"/>
      <c r="E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x14ac:dyDescent="0.35">
      <c r="B47" s="1"/>
      <c r="C47" s="1"/>
      <c r="D47" s="1"/>
      <c r="E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x14ac:dyDescent="0.35">
      <c r="B48" s="1"/>
      <c r="C48" s="1"/>
      <c r="D48" s="1"/>
      <c r="E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x14ac:dyDescent="0.35">
      <c r="B49" s="1"/>
      <c r="C49" s="1"/>
      <c r="D49" s="1"/>
      <c r="E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x14ac:dyDescent="0.35">
      <c r="B50" s="1"/>
      <c r="C50" s="1"/>
      <c r="D50" s="1"/>
      <c r="E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x14ac:dyDescent="0.35">
      <c r="B51" s="1"/>
      <c r="C51" s="1"/>
      <c r="D51" s="1"/>
      <c r="E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x14ac:dyDescent="0.35">
      <c r="B52" s="1"/>
      <c r="C52" s="1"/>
      <c r="D52" s="1"/>
      <c r="E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x14ac:dyDescent="0.35">
      <c r="B53" s="1"/>
      <c r="C53" s="1"/>
      <c r="D53" s="1"/>
      <c r="E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x14ac:dyDescent="0.35">
      <c r="B54" s="1"/>
      <c r="C54" s="1"/>
      <c r="D54" s="1"/>
      <c r="E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x14ac:dyDescent="0.35">
      <c r="B55" s="1"/>
      <c r="C55" s="1"/>
      <c r="D55" s="1"/>
      <c r="E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x14ac:dyDescent="0.35">
      <c r="B56" s="1"/>
      <c r="C56" s="1"/>
      <c r="D56" s="1"/>
      <c r="E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x14ac:dyDescent="0.35">
      <c r="B57" s="1"/>
      <c r="C57" s="1"/>
      <c r="D57" s="1"/>
      <c r="E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x14ac:dyDescent="0.35">
      <c r="B58" s="1"/>
      <c r="C58" s="1"/>
      <c r="D58" s="1"/>
      <c r="E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x14ac:dyDescent="0.35">
      <c r="B59" s="1"/>
      <c r="C59" s="1"/>
      <c r="D59" s="1"/>
      <c r="E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x14ac:dyDescent="0.35">
      <c r="B60" s="1"/>
      <c r="C60" s="1"/>
      <c r="D60" s="1"/>
      <c r="E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x14ac:dyDescent="0.35">
      <c r="B61" s="1"/>
      <c r="C61" s="1"/>
      <c r="D61" s="1"/>
      <c r="E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x14ac:dyDescent="0.35">
      <c r="B62" s="1"/>
      <c r="C62" s="1"/>
      <c r="D62" s="1"/>
      <c r="E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x14ac:dyDescent="0.35">
      <c r="B63" s="1"/>
      <c r="C63" s="1"/>
      <c r="D63" s="1"/>
      <c r="E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x14ac:dyDescent="0.35">
      <c r="B64" s="1"/>
      <c r="C64" s="1"/>
      <c r="D64" s="1"/>
      <c r="E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x14ac:dyDescent="0.35">
      <c r="B65" s="1"/>
      <c r="C65" s="1"/>
      <c r="D65" s="1"/>
      <c r="E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x14ac:dyDescent="0.35">
      <c r="B66" s="1"/>
      <c r="C66" s="1"/>
      <c r="D66" s="1"/>
      <c r="E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x14ac:dyDescent="0.35">
      <c r="B67" s="1"/>
      <c r="C67" s="1"/>
      <c r="D67" s="1"/>
      <c r="E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x14ac:dyDescent="0.35">
      <c r="B68" s="1"/>
      <c r="C68" s="1"/>
      <c r="D68" s="1"/>
      <c r="E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x14ac:dyDescent="0.35">
      <c r="B69" s="1"/>
      <c r="C69" s="1"/>
      <c r="D69" s="1"/>
      <c r="E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x14ac:dyDescent="0.35">
      <c r="B70" s="1"/>
      <c r="C70" s="1"/>
      <c r="D70" s="1"/>
      <c r="E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x14ac:dyDescent="0.35">
      <c r="B71" s="1"/>
      <c r="C71" s="1"/>
      <c r="D71" s="1"/>
      <c r="E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x14ac:dyDescent="0.35">
      <c r="B72" s="1"/>
      <c r="C72" s="1"/>
      <c r="D72" s="1"/>
      <c r="E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x14ac:dyDescent="0.35">
      <c r="B73" s="1"/>
      <c r="C73" s="1"/>
      <c r="D73" s="1"/>
      <c r="E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x14ac:dyDescent="0.35">
      <c r="B74" s="1"/>
      <c r="C74" s="1"/>
      <c r="D74" s="1"/>
      <c r="E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x14ac:dyDescent="0.35">
      <c r="B75" s="1"/>
      <c r="C75" s="1"/>
      <c r="D75" s="1"/>
      <c r="E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x14ac:dyDescent="0.35">
      <c r="B76" s="1"/>
      <c r="C76" s="1"/>
      <c r="D76" s="1"/>
      <c r="E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x14ac:dyDescent="0.35">
      <c r="B77" s="1"/>
      <c r="C77" s="1"/>
      <c r="D77" s="1"/>
      <c r="E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x14ac:dyDescent="0.35">
      <c r="B78" s="1"/>
      <c r="C78" s="1"/>
      <c r="D78" s="1"/>
      <c r="E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x14ac:dyDescent="0.35">
      <c r="B79" s="1"/>
      <c r="C79" s="1"/>
      <c r="D79" s="1"/>
      <c r="E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x14ac:dyDescent="0.35">
      <c r="B80" s="1"/>
      <c r="C80" s="1"/>
      <c r="D80" s="1"/>
      <c r="E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x14ac:dyDescent="0.35">
      <c r="B81" s="1"/>
      <c r="C81" s="1"/>
      <c r="D81" s="1"/>
      <c r="E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x14ac:dyDescent="0.35">
      <c r="B82" s="1"/>
      <c r="C82" s="1"/>
      <c r="D82" s="1"/>
      <c r="E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x14ac:dyDescent="0.35">
      <c r="B83" s="1"/>
      <c r="C83" s="1"/>
      <c r="D83" s="1"/>
      <c r="E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x14ac:dyDescent="0.35">
      <c r="B84" s="1"/>
      <c r="C84" s="1"/>
      <c r="D84" s="1"/>
      <c r="E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x14ac:dyDescent="0.35">
      <c r="B85" s="1"/>
      <c r="C85" s="1"/>
      <c r="D85" s="1"/>
      <c r="E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x14ac:dyDescent="0.35">
      <c r="B86" s="1"/>
      <c r="C86" s="1"/>
      <c r="D86" s="1"/>
      <c r="E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x14ac:dyDescent="0.35">
      <c r="B87" s="1"/>
      <c r="C87" s="1"/>
      <c r="D87" s="1"/>
      <c r="E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x14ac:dyDescent="0.35">
      <c r="B88" s="1"/>
      <c r="C88" s="1"/>
      <c r="D88" s="1"/>
      <c r="E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x14ac:dyDescent="0.35">
      <c r="B89" s="1"/>
      <c r="C89" s="1"/>
      <c r="D89" s="1"/>
      <c r="E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x14ac:dyDescent="0.35">
      <c r="B90" s="1"/>
      <c r="C90" s="1"/>
      <c r="D90" s="1"/>
      <c r="E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x14ac:dyDescent="0.35">
      <c r="B91" s="1"/>
      <c r="C91" s="1"/>
      <c r="D91" s="1"/>
      <c r="E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x14ac:dyDescent="0.35">
      <c r="B92" s="1"/>
      <c r="C92" s="1"/>
      <c r="D92" s="1"/>
      <c r="E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x14ac:dyDescent="0.35">
      <c r="B93" s="1"/>
      <c r="C93" s="1"/>
      <c r="D93" s="1"/>
      <c r="E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x14ac:dyDescent="0.35">
      <c r="B94" s="1"/>
      <c r="C94" s="1"/>
      <c r="D94" s="1"/>
      <c r="E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2:25" x14ac:dyDescent="0.35">
      <c r="B95" s="1"/>
      <c r="C95" s="1"/>
      <c r="D95" s="1"/>
      <c r="E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2:25" x14ac:dyDescent="0.35">
      <c r="B96" s="1"/>
      <c r="C96" s="1"/>
      <c r="D96" s="1"/>
      <c r="E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2:25" x14ac:dyDescent="0.35">
      <c r="B97" s="1"/>
      <c r="C97" s="1"/>
      <c r="D97" s="1"/>
      <c r="E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2:25" x14ac:dyDescent="0.35">
      <c r="B98" s="1"/>
      <c r="C98" s="1"/>
      <c r="D98" s="1"/>
      <c r="E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2:25" x14ac:dyDescent="0.35">
      <c r="B99" s="1"/>
      <c r="C99" s="1"/>
      <c r="D99" s="1"/>
      <c r="E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2:25" x14ac:dyDescent="0.35">
      <c r="B100" s="1"/>
      <c r="C100" s="1"/>
      <c r="D100" s="1"/>
      <c r="E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2:25" x14ac:dyDescent="0.35">
      <c r="B101" s="1"/>
      <c r="C101" s="1"/>
      <c r="D101" s="1"/>
      <c r="E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2:25" x14ac:dyDescent="0.35">
      <c r="B102" s="1"/>
      <c r="C102" s="1"/>
      <c r="D102" s="1"/>
      <c r="E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2:25" x14ac:dyDescent="0.35">
      <c r="B103" s="1"/>
      <c r="C103" s="1"/>
      <c r="D103" s="1"/>
      <c r="E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2:25" x14ac:dyDescent="0.35">
      <c r="B104" s="1"/>
      <c r="C104" s="1"/>
      <c r="D104" s="1"/>
      <c r="E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2:25" x14ac:dyDescent="0.35">
      <c r="B105" s="1"/>
      <c r="C105" s="1"/>
      <c r="D105" s="1"/>
      <c r="E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2:25" x14ac:dyDescent="0.35">
      <c r="B106" s="1"/>
      <c r="C106" s="1"/>
      <c r="D106" s="1"/>
      <c r="E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2:25" x14ac:dyDescent="0.35">
      <c r="B107" s="1"/>
      <c r="C107" s="1"/>
      <c r="D107" s="1"/>
      <c r="E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2:25" x14ac:dyDescent="0.35">
      <c r="B108" s="1"/>
      <c r="C108" s="1"/>
      <c r="D108" s="1"/>
      <c r="E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2:25" x14ac:dyDescent="0.35">
      <c r="B109" s="1"/>
      <c r="C109" s="1"/>
      <c r="D109" s="1"/>
      <c r="E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2:25" x14ac:dyDescent="0.35">
      <c r="B110" s="1"/>
      <c r="C110" s="1"/>
      <c r="D110" s="1"/>
      <c r="E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2:25" x14ac:dyDescent="0.35">
      <c r="B111" s="1"/>
      <c r="C111" s="1"/>
      <c r="D111" s="1"/>
      <c r="E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2:25" x14ac:dyDescent="0.35">
      <c r="B112" s="1"/>
      <c r="C112" s="1"/>
      <c r="D112" s="1"/>
      <c r="E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</sheetData>
  <mergeCells count="2">
    <mergeCell ref="B2:I2"/>
    <mergeCell ref="J38:L38"/>
  </mergeCells>
  <pageMargins left="0.7" right="0.7" top="0.75" bottom="0.75" header="0.3" footer="0.3"/>
  <pageSetup paperSize="0" orientation="portrait" horizontalDpi="180" verticalDpi="18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DF303-38A9-4871-A42F-526357F8CC3F}">
  <dimension ref="B2:F8"/>
  <sheetViews>
    <sheetView workbookViewId="0">
      <selection activeCell="D14" sqref="D14"/>
    </sheetView>
  </sheetViews>
  <sheetFormatPr baseColWidth="10" defaultRowHeight="14.5" x14ac:dyDescent="0.35"/>
  <cols>
    <col min="1" max="1" width="2.81640625" customWidth="1"/>
    <col min="2" max="3" width="24.1796875" customWidth="1"/>
    <col min="4" max="5" width="16.08984375" customWidth="1"/>
    <col min="6" max="6" width="30.54296875" customWidth="1"/>
  </cols>
  <sheetData>
    <row r="2" spans="2:6" x14ac:dyDescent="0.35">
      <c r="B2" s="33"/>
      <c r="C2" s="33"/>
      <c r="D2" s="33"/>
      <c r="E2" s="33"/>
      <c r="F2" s="33"/>
    </row>
    <row r="3" spans="2:6" ht="28" customHeight="1" x14ac:dyDescent="0.35">
      <c r="B3" s="26" t="s">
        <v>87</v>
      </c>
      <c r="C3" s="27" t="s">
        <v>121</v>
      </c>
      <c r="D3" s="26" t="s">
        <v>123</v>
      </c>
      <c r="E3" s="26" t="s">
        <v>120</v>
      </c>
      <c r="F3" s="27" t="s">
        <v>86</v>
      </c>
    </row>
    <row r="4" spans="2:6" ht="15.5" customHeight="1" x14ac:dyDescent="0.35">
      <c r="B4" s="6" t="s">
        <v>119</v>
      </c>
      <c r="C4" s="8">
        <v>3000</v>
      </c>
      <c r="D4" s="9"/>
      <c r="E4" s="9">
        <v>46032</v>
      </c>
      <c r="F4" s="8" t="s">
        <v>114</v>
      </c>
    </row>
    <row r="5" spans="2:6" x14ac:dyDescent="0.35">
      <c r="B5" s="6" t="s">
        <v>122</v>
      </c>
      <c r="C5" s="7">
        <v>2000</v>
      </c>
      <c r="D5" s="7">
        <f>C4+C5</f>
        <v>5000</v>
      </c>
      <c r="E5" s="9">
        <v>46037</v>
      </c>
      <c r="F5" s="8" t="s">
        <v>114</v>
      </c>
    </row>
    <row r="6" spans="2:6" x14ac:dyDescent="0.35">
      <c r="B6" s="6" t="s">
        <v>124</v>
      </c>
      <c r="C6" s="7">
        <v>600</v>
      </c>
      <c r="D6" s="7">
        <f>C6+D5</f>
        <v>5600</v>
      </c>
      <c r="E6" s="9">
        <v>46052</v>
      </c>
      <c r="F6" s="8" t="s">
        <v>114</v>
      </c>
    </row>
    <row r="7" spans="2:6" x14ac:dyDescent="0.35">
      <c r="B7" s="6" t="s">
        <v>125</v>
      </c>
      <c r="C7" s="6">
        <f>SUM(C4:C6)</f>
        <v>5600</v>
      </c>
      <c r="D7" s="6"/>
      <c r="E7" s="6"/>
      <c r="F7" s="25"/>
    </row>
    <row r="8" spans="2:6" x14ac:dyDescent="0.35">
      <c r="B8" s="6"/>
      <c r="C8" s="6"/>
      <c r="D8" s="6"/>
      <c r="E8" s="6"/>
      <c r="F8" s="8"/>
    </row>
  </sheetData>
  <mergeCells count="1">
    <mergeCell ref="B2:F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24FAE-007C-474F-8432-FA016CF65CB4}">
  <dimension ref="B2:J17"/>
  <sheetViews>
    <sheetView workbookViewId="0">
      <selection activeCell="I12" sqref="I12"/>
    </sheetView>
  </sheetViews>
  <sheetFormatPr baseColWidth="10" defaultRowHeight="14.5" x14ac:dyDescent="0.35"/>
  <cols>
    <col min="1" max="1" width="2.81640625" customWidth="1"/>
    <col min="2" max="2" width="16.54296875" customWidth="1"/>
    <col min="3" max="3" width="13.90625" customWidth="1"/>
    <col min="4" max="4" width="29.453125" customWidth="1"/>
    <col min="5" max="6" width="16.08984375" style="1" customWidth="1"/>
    <col min="7" max="7" width="16.08984375" customWidth="1"/>
    <col min="8" max="8" width="16.08984375" style="1" customWidth="1"/>
  </cols>
  <sheetData>
    <row r="2" spans="2:10" ht="18" x14ac:dyDescent="0.35">
      <c r="B2" s="35" t="s">
        <v>134</v>
      </c>
      <c r="C2" s="35"/>
      <c r="D2" s="35"/>
      <c r="E2" s="35"/>
      <c r="F2" s="35"/>
      <c r="G2" s="35"/>
      <c r="H2" s="35"/>
    </row>
    <row r="3" spans="2:10" ht="28" customHeight="1" x14ac:dyDescent="0.35">
      <c r="B3" s="26" t="s">
        <v>126</v>
      </c>
      <c r="C3" s="27" t="s">
        <v>121</v>
      </c>
      <c r="D3" s="28" t="s">
        <v>85</v>
      </c>
      <c r="E3" s="26" t="s">
        <v>121</v>
      </c>
      <c r="F3" s="26" t="s">
        <v>128</v>
      </c>
      <c r="G3" s="26" t="s">
        <v>120</v>
      </c>
      <c r="H3" s="26" t="s">
        <v>135</v>
      </c>
    </row>
    <row r="4" spans="2:10" ht="15.5" customHeight="1" x14ac:dyDescent="0.35">
      <c r="B4" s="6" t="s">
        <v>132</v>
      </c>
      <c r="C4" s="8">
        <v>4000</v>
      </c>
      <c r="D4" s="29" t="s">
        <v>127</v>
      </c>
      <c r="E4" s="7">
        <v>2000</v>
      </c>
      <c r="F4" s="7">
        <f>E4</f>
        <v>2000</v>
      </c>
      <c r="G4" s="9" t="s">
        <v>114</v>
      </c>
      <c r="H4" s="7">
        <f>C4-E4</f>
        <v>2000</v>
      </c>
      <c r="I4" s="31"/>
      <c r="J4" s="31"/>
    </row>
    <row r="5" spans="2:10" x14ac:dyDescent="0.35">
      <c r="B5" s="6"/>
      <c r="C5" s="7"/>
      <c r="D5" s="29" t="s">
        <v>124</v>
      </c>
      <c r="E5" s="7">
        <v>600</v>
      </c>
      <c r="F5" s="7">
        <f>E5+F4</f>
        <v>2600</v>
      </c>
      <c r="G5" s="9" t="s">
        <v>114</v>
      </c>
      <c r="H5" s="7">
        <f>H4-E5</f>
        <v>1400</v>
      </c>
      <c r="I5" s="31"/>
      <c r="J5" s="31"/>
    </row>
    <row r="6" spans="2:10" x14ac:dyDescent="0.35">
      <c r="B6" s="6"/>
      <c r="C6" s="7"/>
      <c r="D6" s="29" t="s">
        <v>129</v>
      </c>
      <c r="E6" s="7">
        <v>160</v>
      </c>
      <c r="F6" s="7">
        <f t="shared" ref="F6:F7" si="0">E6+F5</f>
        <v>2760</v>
      </c>
      <c r="G6" s="9" t="s">
        <v>114</v>
      </c>
      <c r="H6" s="7">
        <f t="shared" ref="H6:H9" si="1">H5-E6</f>
        <v>1240</v>
      </c>
      <c r="I6" s="31"/>
      <c r="J6" s="31"/>
    </row>
    <row r="7" spans="2:10" x14ac:dyDescent="0.35">
      <c r="B7" s="6"/>
      <c r="C7" s="6"/>
      <c r="D7" s="30" t="s">
        <v>130</v>
      </c>
      <c r="E7" s="7">
        <v>500</v>
      </c>
      <c r="F7" s="7">
        <f t="shared" si="0"/>
        <v>3260</v>
      </c>
      <c r="G7" s="9" t="s">
        <v>114</v>
      </c>
      <c r="H7" s="7">
        <f t="shared" si="1"/>
        <v>740</v>
      </c>
      <c r="I7" s="5"/>
      <c r="J7" s="5"/>
    </row>
    <row r="8" spans="2:10" x14ac:dyDescent="0.35">
      <c r="B8" s="6"/>
      <c r="C8" s="6"/>
      <c r="D8" s="30" t="s">
        <v>131</v>
      </c>
      <c r="E8" s="7">
        <v>125</v>
      </c>
      <c r="F8" s="7">
        <f>E8+F7</f>
        <v>3385</v>
      </c>
      <c r="G8" s="9" t="s">
        <v>114</v>
      </c>
      <c r="H8" s="7">
        <f t="shared" si="1"/>
        <v>615</v>
      </c>
      <c r="I8" s="5"/>
      <c r="J8" s="5"/>
    </row>
    <row r="9" spans="2:10" x14ac:dyDescent="0.35">
      <c r="B9" s="6"/>
      <c r="C9" s="6"/>
      <c r="D9" s="17" t="s">
        <v>32</v>
      </c>
      <c r="E9" s="7">
        <v>70</v>
      </c>
      <c r="F9" s="7">
        <f t="shared" ref="F9" si="2">E9+F8</f>
        <v>3455</v>
      </c>
      <c r="G9" s="9" t="s">
        <v>114</v>
      </c>
      <c r="H9" s="7">
        <f t="shared" si="1"/>
        <v>545</v>
      </c>
      <c r="I9" s="5"/>
      <c r="J9" s="5"/>
    </row>
    <row r="10" spans="2:10" x14ac:dyDescent="0.35">
      <c r="B10" s="6"/>
      <c r="C10" s="6"/>
      <c r="D10" s="17" t="s">
        <v>133</v>
      </c>
      <c r="E10" s="7">
        <v>200</v>
      </c>
      <c r="F10" s="7">
        <f t="shared" ref="F10" si="3">E10+F9</f>
        <v>3655</v>
      </c>
      <c r="G10" s="9" t="s">
        <v>114</v>
      </c>
      <c r="H10" s="7">
        <f>H9-E10</f>
        <v>345</v>
      </c>
    </row>
    <row r="11" spans="2:10" x14ac:dyDescent="0.35">
      <c r="B11" s="6"/>
      <c r="C11" s="6"/>
      <c r="D11" s="17"/>
      <c r="E11" s="6"/>
      <c r="F11" s="7"/>
      <c r="G11" s="6"/>
      <c r="H11" s="6"/>
    </row>
    <row r="12" spans="2:10" x14ac:dyDescent="0.35">
      <c r="B12" s="6"/>
      <c r="C12" s="6"/>
      <c r="D12" s="17"/>
      <c r="E12" s="6"/>
      <c r="F12" s="7"/>
      <c r="G12" s="6"/>
      <c r="H12" s="6"/>
    </row>
    <row r="13" spans="2:10" x14ac:dyDescent="0.35">
      <c r="B13" s="6"/>
      <c r="C13" s="6"/>
      <c r="D13" s="17"/>
      <c r="E13" s="6"/>
      <c r="F13" s="7"/>
      <c r="G13" s="6"/>
      <c r="H13" s="6"/>
    </row>
    <row r="14" spans="2:10" x14ac:dyDescent="0.35">
      <c r="B14" s="6"/>
      <c r="C14" s="6"/>
      <c r="D14" s="17"/>
      <c r="E14" s="6"/>
      <c r="F14" s="7"/>
      <c r="G14" s="6"/>
      <c r="H14" s="6"/>
    </row>
    <row r="15" spans="2:10" x14ac:dyDescent="0.35">
      <c r="B15" s="6"/>
      <c r="C15" s="6"/>
      <c r="D15" s="17"/>
      <c r="E15" s="6"/>
      <c r="F15" s="7"/>
      <c r="G15" s="6"/>
      <c r="H15" s="6"/>
    </row>
    <row r="16" spans="2:10" x14ac:dyDescent="0.35">
      <c r="B16" s="6"/>
      <c r="C16" s="6"/>
      <c r="D16" s="17"/>
      <c r="E16" s="6"/>
      <c r="F16" s="7"/>
      <c r="G16" s="6"/>
      <c r="H16" s="6"/>
    </row>
    <row r="17" spans="2:8" x14ac:dyDescent="0.35">
      <c r="B17" s="6"/>
      <c r="C17" s="6"/>
      <c r="D17" s="17"/>
      <c r="E17" s="6"/>
      <c r="F17" s="7"/>
      <c r="G17" s="6"/>
      <c r="H17" s="6"/>
    </row>
  </sheetData>
  <mergeCells count="1">
    <mergeCell ref="B2:H2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Septie2025</vt:lpstr>
      <vt:lpstr>Octub2025</vt:lpstr>
      <vt:lpstr>Noviem2025</vt:lpstr>
      <vt:lpstr>Diciem2025</vt:lpstr>
      <vt:lpstr>Ene2026</vt:lpstr>
      <vt:lpstr>Presupuesto 2026</vt:lpstr>
      <vt:lpstr>PresupV1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Genry Luis</dc:creator>
  <cp:lastModifiedBy>Genry Uwualdo Luis Alvarado</cp:lastModifiedBy>
  <dcterms:created xsi:type="dcterms:W3CDTF">2015-06-05T18:19:34Z</dcterms:created>
  <dcterms:modified xsi:type="dcterms:W3CDTF">2026-01-18T06:07:44Z</dcterms:modified>
</cp:coreProperties>
</file>