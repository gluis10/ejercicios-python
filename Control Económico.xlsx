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86B6259F-F638-4F85-9680-48D98A7121EE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Feb2026" sheetId="12" r:id="rId6"/>
    <sheet name="Presupuesto 2026" sheetId="9" r:id="rId7"/>
    <sheet name="PresupV1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2" l="1"/>
  <c r="I28" i="12"/>
  <c r="I29" i="12"/>
  <c r="I30" i="12"/>
  <c r="I27" i="12"/>
  <c r="E4" i="12"/>
  <c r="F35" i="12"/>
  <c r="I35" i="12" s="1"/>
  <c r="I46" i="8"/>
  <c r="H10" i="1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48" i="8"/>
  <c r="E4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D4" i="7"/>
  <c r="E31" i="7"/>
  <c r="E36" i="4"/>
  <c r="D4" i="4"/>
  <c r="E40" i="3"/>
  <c r="D4" i="3"/>
  <c r="E18" i="1"/>
  <c r="D4" i="1"/>
  <c r="E36" i="12" l="1"/>
  <c r="I4" i="12"/>
  <c r="I5" i="12" s="1"/>
  <c r="I6" i="12" s="1"/>
  <c r="I7" i="12" s="1"/>
  <c r="H31" i="7"/>
  <c r="D32" i="7" s="1"/>
  <c r="I48" i="8"/>
  <c r="E49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I8" i="12" l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H17" i="7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<sst xmlns="http://schemas.openxmlformats.org/spreadsheetml/2006/main" count="310" uniqueCount="191">
  <si>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</si>
  <si>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</si>
  <si>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</si>
  <si>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</si>
  <si>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</si>
  <si>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</si>
  <si>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</si>
  <si>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</si>
  <si>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</si>
  <si>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</si>
  <si>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</si>
  <si>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</si>
  <si>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</si>
  <si>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</si>
  <si>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</si>
  <si>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</si>
  <si>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</si>
  <si>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</si>
  <si>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</si>
  <si>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</si>
  <si>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</si>
  <si>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</si>
  <si>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</si>
  <si>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</si>
  <si>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</si>
  <si>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</si>
  <si>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</si>
  <si>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</si>
  <si>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</si>
  <si>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</si>
  <si>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</si>
  <si>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</si>
  <si>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</si>
  <si>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</si>
  <si>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</si>
  <si>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</si>
  <si>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</si>
  <si>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</si>
  <si>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</si>
  <si>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</si>
  <si>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</si>
  <si>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</si>
  <si>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</si>
  <si>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</si>
  <si>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</si>
  <si>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</si>
  <si>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</si>
  <si>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</si>
  <si>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</si>
  <si>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</si>
  <si>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</si>
  <si>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</si>
  <si>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</si>
  <si>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</si>
  <si>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</si>
  <si>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</si>
  <si>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</si>
  <si>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</si>
  <si>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</si>
  <si>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</si>
  <si>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</si>
  <si>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</si>
  <si>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</si>
  <si>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</si>
  <si>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</si>
  <si>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</si>
  <si>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</si>
  <si>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</si>
  <si>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</si>
  <si>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</si>
  <si>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</si>
  <si>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</si>
  <si>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</si>
  <si>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</si>
  <si>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</si>
  <si>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</si>
  <si>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</si>
  <si>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</si>
  <si>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</si>
  <si>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</si>
  <si>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</si>
  <si>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</si>
  <si>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</si>
  <si>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</si>
  <si>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</si>
  <si>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</si>
  <si>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</si>
  <si>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</si>
  <si>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</si>
  <si>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</si>
  <si>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</si>
  <si>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</si>
  <si>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</si>
  <si>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</si>
  <si>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</si>
  <si>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</si>
  <si>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</si>
  <si>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</si>
  <si>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</si>
  <si>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</si>
  <si>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</si>
  <si>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</si>
  <si>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</si>
  <si>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</si>
  <si>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</si>
  <si>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</si>
  <si>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</si>
  <si>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</si>
  <si>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</si>
  <si>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</si>
  <si>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</si>
  <si>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</si>
  <si>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</si>
  <si>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</si>
  <si>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</si>
  <si>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</si>
  <si>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</si>
  <si>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</si>
  <si>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</si>
  <si>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</si>
  <si>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</si>
  <si>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</si>
  <si>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</si>
  <si>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</si>
  <si>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</si>
  <si>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</si>
  <si>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</si>
  <si>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</si>
  <si>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</si>
  <si>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</si>
  <si>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</si>
  <si>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</si>
  <si>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</si>
  <si>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</si>
  <si>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</si>
  <si>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</si>
  <si>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</si>
  <si>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</si>
  <si>
    <t xml:space="preserve">Cable para clohs </t>
  </si>
  <si>
    <t xml:space="preserve">Led de moto </t>
  </si>
  <si>
    <t>Colección de carros (G9)</t>
  </si>
  <si>
    <t>Cortina para ventana (G9)</t>
  </si>
  <si>
    <t>Gasolina de moto semanal</t>
  </si>
  <si>
    <t>Creí que ya había pagado cable clohs</t>
  </si>
  <si>
    <t>Compras de higiene personal</t>
  </si>
  <si>
    <t xml:space="preserve">Pendiente </t>
  </si>
  <si>
    <t>Gasolina (Vier, Sab, Dom)</t>
  </si>
  <si>
    <t>Piezas de pollo (Almuerzo)</t>
  </si>
  <si>
    <t>Renovación de Beca</t>
  </si>
  <si>
    <t>Pago matrícula de Universidad</t>
  </si>
  <si>
    <t>Super del Barrio</t>
  </si>
  <si>
    <t>Netflix del Mes</t>
  </si>
  <si>
    <t>Instalación de luz led a moto</t>
  </si>
  <si>
    <t>Desparacitante, Sucrol, Vital Fuerta</t>
  </si>
  <si>
    <t>ATMS (Gasto desconocido)</t>
  </si>
  <si>
    <t>Pago servicio de Internet</t>
  </si>
  <si>
    <t>Baterías AAA</t>
  </si>
  <si>
    <t>Porta-teléfono</t>
  </si>
  <si>
    <t>Corte de cabello</t>
  </si>
  <si>
    <t>Retiro (Q60 PortaTel, Q60 Cuader)</t>
  </si>
  <si>
    <t>Mensualidad - Universidad Enero</t>
  </si>
  <si>
    <t xml:space="preserve">Burger King </t>
  </si>
  <si>
    <t>Pantalla</t>
  </si>
  <si>
    <t>Personales animes</t>
  </si>
  <si>
    <t>Mouspad</t>
  </si>
  <si>
    <t>Parqueo Plaza Varieta</t>
  </si>
  <si>
    <t>Parqueo Décima Plaza</t>
  </si>
  <si>
    <t>2da-15cena enero 2026</t>
  </si>
  <si>
    <t>1ra-15cena febrero 2026</t>
  </si>
  <si>
    <t>Coca y galletas (Granados)</t>
  </si>
  <si>
    <t>Renta casa, enero 2026</t>
  </si>
  <si>
    <t>Mollejas almuerzo</t>
  </si>
  <si>
    <t>Super (Avenas, Jugo, Galleta, Espon)</t>
  </si>
  <si>
    <t>Retiro (Gastos personales)</t>
  </si>
  <si>
    <t>(Verduras, Cancha, Pastel)</t>
  </si>
  <si>
    <t>Tornillo - Física</t>
  </si>
  <si>
    <t>Personaje Naruto</t>
  </si>
  <si>
    <t>Gasolina para la semana</t>
  </si>
  <si>
    <t>Retiro - Las brisas</t>
  </si>
  <si>
    <t xml:space="preserve">Bibli y Guias </t>
  </si>
  <si>
    <t>Retiro Gastos personales</t>
  </si>
  <si>
    <t xml:space="preserve">tes </t>
  </si>
  <si>
    <t>Uber de U a la casa</t>
  </si>
  <si>
    <t>Instalación de Sopt Moto</t>
  </si>
  <si>
    <t>Cancha sintética</t>
  </si>
  <si>
    <t xml:space="preserve">Inversiones </t>
  </si>
  <si>
    <t>Gasolina para fin de semana</t>
  </si>
  <si>
    <t>Reparación de moto - Richard</t>
  </si>
  <si>
    <t>Personajes One Piece</t>
  </si>
  <si>
    <t>Piezas de Granjero</t>
  </si>
  <si>
    <t>Mensualidad Universidad 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</si>
</sst>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0" fillId="0" borderId="1" xfId="0" applyNumberFormat="1" applyBorder="1"/>
    <xf numFmtId="164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4" t="s">
        <v>0</v>
      </c>
      <c r="C2" s="34"/>
      <c r="D2" s="34"/>
      <c r="E2" s="34"/>
      <c r="F2" s="34"/>
      <c r="G2" s="34"/>
      <c r="H2" s="3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5" t="s">
        <v>110</v>
      </c>
      <c r="J31" s="35"/>
      <c r="K31" s="3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122"/>
  <sheetViews>
    <sheetView workbookViewId="0">
      <selection activeCell="J45" sqref="J4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4" t="s">
        <v>0</v>
      </c>
      <c r="C2" s="34"/>
      <c r="D2" s="34"/>
      <c r="E2" s="34"/>
      <c r="F2" s="34"/>
      <c r="G2" s="34"/>
      <c r="H2" s="34"/>
      <c r="I2" s="3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6162.57</v>
      </c>
      <c r="F4" s="8">
        <v>30</v>
      </c>
      <c r="G4" s="8" t="s">
        <v>107</v>
      </c>
      <c r="H4" s="9">
        <v>46023</v>
      </c>
      <c r="I4" s="6">
        <f>(E4-F4)</f>
        <v>6132.57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5982.57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5782.57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>
        <v>2135.69</v>
      </c>
      <c r="C7" s="6" t="s">
        <v>115</v>
      </c>
      <c r="D7" s="6"/>
      <c r="E7" s="8"/>
      <c r="F7" s="32">
        <v>50</v>
      </c>
      <c r="G7" s="8" t="s">
        <v>138</v>
      </c>
      <c r="H7" s="9">
        <v>46025</v>
      </c>
      <c r="I7" s="6">
        <f>I6-F7</f>
        <v>5732.57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>
        <v>127</v>
      </c>
      <c r="G8" s="8" t="s">
        <v>139</v>
      </c>
      <c r="H8" s="9">
        <v>46025</v>
      </c>
      <c r="I8" s="6">
        <f t="shared" ref="I8:I14" si="0">I7-F8</f>
        <v>5605.57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>
        <v>0</v>
      </c>
      <c r="G9" s="8" t="s">
        <v>140</v>
      </c>
      <c r="H9" s="9">
        <v>46025</v>
      </c>
      <c r="I9" s="6">
        <f t="shared" si="0"/>
        <v>5605.57</v>
      </c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0</v>
      </c>
      <c r="G10" s="8" t="s">
        <v>141</v>
      </c>
      <c r="H10" s="9">
        <v>46025</v>
      </c>
      <c r="I10" s="6">
        <f t="shared" si="0"/>
        <v>5605.57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35</v>
      </c>
      <c r="G11" s="8" t="s">
        <v>78</v>
      </c>
      <c r="H11" s="9">
        <v>46025</v>
      </c>
      <c r="I11" s="6">
        <f t="shared" si="0"/>
        <v>5570.57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50</v>
      </c>
      <c r="G12" s="8" t="s">
        <v>136</v>
      </c>
      <c r="H12" s="9">
        <v>46027</v>
      </c>
      <c r="I12" s="6">
        <f t="shared" si="0"/>
        <v>5520.57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30</v>
      </c>
      <c r="G13" s="8" t="s">
        <v>142</v>
      </c>
      <c r="H13" s="9">
        <v>46027</v>
      </c>
      <c r="I13" s="6">
        <f t="shared" si="0"/>
        <v>5490.57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>
        <v>100</v>
      </c>
      <c r="G14" s="8" t="s">
        <v>136</v>
      </c>
      <c r="H14" s="9">
        <v>46028</v>
      </c>
      <c r="I14" s="6">
        <f t="shared" si="0"/>
        <v>5390.57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143</v>
      </c>
      <c r="H15" s="9">
        <v>46028</v>
      </c>
      <c r="I15" s="6">
        <f>I14-F15</f>
        <v>5340.57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>
        <v>145</v>
      </c>
      <c r="G16" s="8" t="s">
        <v>144</v>
      </c>
      <c r="H16" s="9">
        <v>46028</v>
      </c>
      <c r="I16" s="6">
        <f>I15-F16</f>
        <v>5195.57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1">
        <v>50</v>
      </c>
      <c r="G17" s="8" t="s">
        <v>145</v>
      </c>
      <c r="H17" s="9">
        <v>46028</v>
      </c>
      <c r="I17" s="6">
        <f t="shared" ref="I17:I46" si="1">I16-F17</f>
        <v>5145.57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32">
        <v>20</v>
      </c>
      <c r="G18" s="8" t="s">
        <v>146</v>
      </c>
      <c r="H18" s="9">
        <v>46031</v>
      </c>
      <c r="I18" s="6">
        <f t="shared" si="1"/>
        <v>5125.57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32">
        <v>30</v>
      </c>
      <c r="G19" s="8" t="s">
        <v>147</v>
      </c>
      <c r="H19" s="9">
        <v>46032</v>
      </c>
      <c r="I19" s="6">
        <f t="shared" si="1"/>
        <v>5095.57</v>
      </c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/>
      <c r="C20" s="6"/>
      <c r="D20" s="6"/>
      <c r="E20" s="6"/>
      <c r="F20" s="32">
        <v>100</v>
      </c>
      <c r="G20" s="8" t="s">
        <v>37</v>
      </c>
      <c r="H20" s="9">
        <v>46032</v>
      </c>
      <c r="I20" s="6">
        <f t="shared" si="1"/>
        <v>4995.57</v>
      </c>
      <c r="J20" s="5"/>
      <c r="K20" s="5"/>
      <c r="L20" s="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/>
      <c r="C21" s="6"/>
      <c r="D21" s="6"/>
      <c r="E21" s="6"/>
      <c r="F21" s="32">
        <v>50</v>
      </c>
      <c r="G21" s="8" t="s">
        <v>107</v>
      </c>
      <c r="H21" s="9">
        <v>46033</v>
      </c>
      <c r="I21" s="6">
        <f t="shared" si="1"/>
        <v>4945.57</v>
      </c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6"/>
      <c r="C22" s="6"/>
      <c r="D22" s="6"/>
      <c r="E22" s="6"/>
      <c r="F22" s="32">
        <v>150</v>
      </c>
      <c r="G22" s="8" t="s">
        <v>148</v>
      </c>
      <c r="H22" s="9">
        <v>46034</v>
      </c>
      <c r="I22" s="6">
        <f t="shared" si="1"/>
        <v>4795.57</v>
      </c>
      <c r="J22" s="5"/>
      <c r="K22" s="5"/>
      <c r="L22" s="5"/>
      <c r="M22" s="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6"/>
      <c r="C23" s="6"/>
      <c r="D23" s="6"/>
      <c r="E23" s="6"/>
      <c r="F23" s="32">
        <v>2100</v>
      </c>
      <c r="G23" s="8" t="s">
        <v>149</v>
      </c>
      <c r="H23" s="9">
        <v>46034</v>
      </c>
      <c r="I23" s="6">
        <f t="shared" si="1"/>
        <v>2695.5699999999997</v>
      </c>
      <c r="J23" s="5"/>
      <c r="K23" s="5"/>
      <c r="L23" s="5"/>
      <c r="M23" s="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6"/>
      <c r="C24" s="6"/>
      <c r="D24" s="6"/>
      <c r="E24" s="6"/>
      <c r="F24" s="6">
        <v>40</v>
      </c>
      <c r="G24" s="8" t="s">
        <v>70</v>
      </c>
      <c r="H24" s="9">
        <v>46034</v>
      </c>
      <c r="I24" s="6">
        <f t="shared" si="1"/>
        <v>2655.5699999999997</v>
      </c>
      <c r="J24" s="5"/>
      <c r="K24" s="5"/>
      <c r="L24" s="5"/>
      <c r="M24" s="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6"/>
      <c r="C25" s="6"/>
      <c r="D25" s="6"/>
      <c r="E25" s="6"/>
      <c r="F25" s="6">
        <v>100</v>
      </c>
      <c r="G25" s="8" t="s">
        <v>37</v>
      </c>
      <c r="H25" s="9">
        <v>46035</v>
      </c>
      <c r="I25" s="6">
        <f t="shared" si="1"/>
        <v>2555.5699999999997</v>
      </c>
      <c r="J25" s="5"/>
      <c r="K25" s="5"/>
      <c r="L25" s="5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6"/>
      <c r="C26" s="6"/>
      <c r="D26" s="6"/>
      <c r="E26" s="6"/>
      <c r="F26" s="6">
        <v>60</v>
      </c>
      <c r="G26" s="8" t="s">
        <v>150</v>
      </c>
      <c r="H26" s="9">
        <v>46035</v>
      </c>
      <c r="I26" s="6">
        <f t="shared" si="1"/>
        <v>2495.5699999999997</v>
      </c>
      <c r="J26" s="5"/>
      <c r="K26" s="5"/>
      <c r="L26" s="5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6"/>
      <c r="C27" s="6"/>
      <c r="D27" s="6"/>
      <c r="E27" s="6"/>
      <c r="F27" s="6">
        <v>70</v>
      </c>
      <c r="G27" s="8" t="s">
        <v>151</v>
      </c>
      <c r="H27" s="9">
        <v>46035</v>
      </c>
      <c r="I27" s="6">
        <f t="shared" si="1"/>
        <v>2425.5699999999997</v>
      </c>
      <c r="J27" s="5"/>
      <c r="K27" s="5"/>
      <c r="L27" s="5"/>
      <c r="M27" s="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6"/>
      <c r="C28" s="6"/>
      <c r="D28" s="6"/>
      <c r="E28" s="6"/>
      <c r="F28" s="6">
        <v>50</v>
      </c>
      <c r="G28" s="8" t="s">
        <v>152</v>
      </c>
      <c r="H28" s="9">
        <v>46035</v>
      </c>
      <c r="I28" s="6">
        <f t="shared" si="1"/>
        <v>2375.5699999999997</v>
      </c>
      <c r="J28" s="5"/>
      <c r="K28" s="5"/>
      <c r="L28" s="5"/>
      <c r="M28" s="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6"/>
      <c r="C29" s="6"/>
      <c r="D29" s="6"/>
      <c r="E29" s="6"/>
      <c r="F29" s="6">
        <v>281</v>
      </c>
      <c r="G29" s="8" t="s">
        <v>153</v>
      </c>
      <c r="H29" s="9">
        <v>46037</v>
      </c>
      <c r="I29" s="6">
        <f t="shared" si="1"/>
        <v>2094.5699999999997</v>
      </c>
      <c r="J29" s="5"/>
      <c r="K29" s="5"/>
      <c r="L29" s="5"/>
      <c r="M29" s="5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6"/>
      <c r="C30" s="6"/>
      <c r="D30" s="6"/>
      <c r="E30" s="6"/>
      <c r="F30" s="6">
        <v>10</v>
      </c>
      <c r="G30" s="8" t="s">
        <v>142</v>
      </c>
      <c r="H30" s="9">
        <v>46038</v>
      </c>
      <c r="I30" s="6">
        <f t="shared" si="1"/>
        <v>2084.5699999999997</v>
      </c>
      <c r="J30" s="5"/>
      <c r="K30" s="5"/>
      <c r="L30" s="5"/>
      <c r="M30" s="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6"/>
      <c r="C31" s="6"/>
      <c r="D31" s="6"/>
      <c r="E31" s="6"/>
      <c r="F31" s="6">
        <v>15</v>
      </c>
      <c r="G31" s="8" t="s">
        <v>154</v>
      </c>
      <c r="H31" s="9">
        <v>46039</v>
      </c>
      <c r="I31" s="6">
        <f t="shared" si="1"/>
        <v>2069.5699999999997</v>
      </c>
      <c r="J31" s="5"/>
      <c r="K31" s="5"/>
      <c r="L31" s="5"/>
      <c r="M31" s="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6"/>
      <c r="C32" s="6"/>
      <c r="D32" s="6"/>
      <c r="E32" s="6"/>
      <c r="F32" s="6">
        <v>135</v>
      </c>
      <c r="G32" s="8" t="s">
        <v>155</v>
      </c>
      <c r="H32" s="9">
        <v>46039</v>
      </c>
      <c r="I32" s="6">
        <f t="shared" si="1"/>
        <v>1934.5699999999997</v>
      </c>
      <c r="J32" s="5"/>
      <c r="K32" s="5"/>
      <c r="L32" s="5"/>
      <c r="M32" s="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6"/>
      <c r="C33" s="6"/>
      <c r="D33" s="6"/>
      <c r="E33" s="6"/>
      <c r="F33" s="6">
        <v>18</v>
      </c>
      <c r="G33" s="8" t="s">
        <v>156</v>
      </c>
      <c r="H33" s="9">
        <v>46039</v>
      </c>
      <c r="I33" s="6">
        <f t="shared" si="1"/>
        <v>1916.5699999999997</v>
      </c>
      <c r="J33" s="5"/>
      <c r="K33" s="5"/>
      <c r="L33" s="5"/>
      <c r="M33" s="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6"/>
      <c r="C34" s="6"/>
      <c r="D34" s="6"/>
      <c r="E34" s="6"/>
      <c r="F34" s="6">
        <v>34</v>
      </c>
      <c r="G34" s="8" t="s">
        <v>147</v>
      </c>
      <c r="H34" s="9">
        <v>46039</v>
      </c>
      <c r="I34" s="6">
        <f t="shared" si="1"/>
        <v>1882.5699999999997</v>
      </c>
      <c r="J34" s="5"/>
      <c r="K34" s="5"/>
      <c r="L34" s="5"/>
      <c r="M34" s="5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6"/>
      <c r="C35" s="6"/>
      <c r="D35" s="6"/>
      <c r="E35" s="6"/>
      <c r="F35" s="6">
        <v>60</v>
      </c>
      <c r="G35" s="8" t="s">
        <v>157</v>
      </c>
      <c r="H35" s="9">
        <v>46039</v>
      </c>
      <c r="I35" s="6">
        <f t="shared" si="1"/>
        <v>1822.5699999999997</v>
      </c>
      <c r="J35" s="5"/>
      <c r="K35" s="5"/>
      <c r="L35" s="5"/>
      <c r="M35" s="5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6"/>
      <c r="C36" s="6"/>
      <c r="D36" s="6"/>
      <c r="E36" s="6"/>
      <c r="F36" s="6">
        <v>20</v>
      </c>
      <c r="G36" s="8" t="s">
        <v>158</v>
      </c>
      <c r="H36" s="9">
        <v>46039</v>
      </c>
      <c r="I36" s="6">
        <f t="shared" si="1"/>
        <v>1802.5699999999997</v>
      </c>
      <c r="J36" s="5"/>
      <c r="K36" s="5"/>
      <c r="L36" s="5"/>
      <c r="M36" s="5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6"/>
      <c r="C37" s="6"/>
      <c r="D37" s="6"/>
      <c r="E37" s="6"/>
      <c r="F37" s="6">
        <v>100</v>
      </c>
      <c r="G37" s="8" t="s">
        <v>159</v>
      </c>
      <c r="H37" s="9">
        <v>46039</v>
      </c>
      <c r="I37" s="6">
        <f t="shared" si="1"/>
        <v>1702.5699999999997</v>
      </c>
      <c r="J37" s="5"/>
      <c r="K37" s="5"/>
      <c r="L37" s="5"/>
      <c r="M37" s="5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6"/>
      <c r="C38" s="6"/>
      <c r="D38" s="6"/>
      <c r="E38" s="6"/>
      <c r="F38" s="6">
        <v>40</v>
      </c>
      <c r="G38" s="8" t="s">
        <v>29</v>
      </c>
      <c r="H38" s="9">
        <v>46041</v>
      </c>
      <c r="I38" s="6">
        <f t="shared" si="1"/>
        <v>1662.5699999999997</v>
      </c>
      <c r="J38" s="5"/>
      <c r="K38" s="5"/>
      <c r="L38" s="5"/>
      <c r="M38" s="5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6"/>
      <c r="C39" s="6"/>
      <c r="D39" s="6"/>
      <c r="E39" s="6"/>
      <c r="F39" s="6">
        <v>1228</v>
      </c>
      <c r="G39" s="8" t="s">
        <v>160</v>
      </c>
      <c r="H39" s="9">
        <v>46041</v>
      </c>
      <c r="I39" s="6">
        <f t="shared" si="1"/>
        <v>434.56999999999971</v>
      </c>
      <c r="J39" s="5"/>
      <c r="K39" s="5"/>
      <c r="L39" s="5"/>
      <c r="M39" s="5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6"/>
      <c r="C40" s="6"/>
      <c r="D40" s="6"/>
      <c r="E40" s="6"/>
      <c r="F40" s="6">
        <v>10</v>
      </c>
      <c r="G40" s="8" t="s">
        <v>165</v>
      </c>
      <c r="H40" s="9">
        <v>46042</v>
      </c>
      <c r="I40" s="6">
        <f t="shared" si="1"/>
        <v>424.56999999999971</v>
      </c>
      <c r="J40" s="5"/>
      <c r="K40" s="5"/>
      <c r="L40" s="5"/>
      <c r="M40" s="5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6"/>
      <c r="C41" s="6"/>
      <c r="D41" s="6"/>
      <c r="E41" s="6"/>
      <c r="F41" s="6">
        <v>39</v>
      </c>
      <c r="G41" s="8" t="s">
        <v>161</v>
      </c>
      <c r="H41" s="9">
        <v>46044</v>
      </c>
      <c r="I41" s="6">
        <f t="shared" si="1"/>
        <v>385.56999999999971</v>
      </c>
      <c r="J41" s="5"/>
      <c r="K41" s="5"/>
      <c r="L41" s="5"/>
      <c r="M41" s="5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6"/>
      <c r="C42" s="6"/>
      <c r="D42" s="6"/>
      <c r="E42" s="6"/>
      <c r="F42" s="6">
        <v>50</v>
      </c>
      <c r="G42" s="8" t="s">
        <v>162</v>
      </c>
      <c r="H42" s="9">
        <v>46052</v>
      </c>
      <c r="I42" s="6">
        <f t="shared" si="1"/>
        <v>335.56999999999971</v>
      </c>
      <c r="J42" s="5"/>
      <c r="K42" s="5"/>
      <c r="L42" s="5"/>
      <c r="M42" s="5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6"/>
      <c r="C43" s="6"/>
      <c r="D43" s="6"/>
      <c r="E43" s="6"/>
      <c r="F43" s="6">
        <v>130</v>
      </c>
      <c r="G43" s="8" t="s">
        <v>163</v>
      </c>
      <c r="H43" s="9">
        <v>46052</v>
      </c>
      <c r="I43" s="6">
        <f t="shared" si="1"/>
        <v>205.56999999999971</v>
      </c>
      <c r="J43" s="5"/>
      <c r="K43" s="5"/>
      <c r="L43" s="5"/>
      <c r="M43" s="5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6"/>
      <c r="C44" s="6"/>
      <c r="D44" s="6"/>
      <c r="E44" s="6"/>
      <c r="F44" s="6">
        <v>25</v>
      </c>
      <c r="G44" s="8" t="s">
        <v>164</v>
      </c>
      <c r="H44" s="9">
        <v>46052</v>
      </c>
      <c r="I44" s="6">
        <f t="shared" si="1"/>
        <v>180.56999999999971</v>
      </c>
      <c r="J44" s="5"/>
      <c r="K44" s="5"/>
      <c r="L44" s="5"/>
      <c r="M44" s="5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6"/>
      <c r="C45" s="6"/>
      <c r="D45" s="6"/>
      <c r="E45" s="6"/>
      <c r="F45" s="6">
        <v>55</v>
      </c>
      <c r="G45" s="8" t="s">
        <v>166</v>
      </c>
      <c r="H45" s="9">
        <v>46052</v>
      </c>
      <c r="I45" s="6">
        <f t="shared" si="1"/>
        <v>125.56999999999971</v>
      </c>
      <c r="J45" s="5"/>
      <c r="K45" s="5"/>
      <c r="L45" s="5"/>
      <c r="M45" s="5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6"/>
      <c r="C46" s="6"/>
      <c r="D46" s="6"/>
      <c r="E46" s="6"/>
      <c r="F46" s="6">
        <v>100</v>
      </c>
      <c r="G46" s="8" t="s">
        <v>37</v>
      </c>
      <c r="H46" s="9">
        <v>46052</v>
      </c>
      <c r="I46" s="6">
        <f t="shared" si="1"/>
        <v>25.569999999999709</v>
      </c>
      <c r="J46" s="5"/>
      <c r="K46" s="5"/>
      <c r="L46" s="5"/>
      <c r="M46" s="5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6"/>
      <c r="C47" s="6"/>
      <c r="D47" s="6"/>
      <c r="E47" s="6"/>
      <c r="F47" s="6"/>
      <c r="G47" s="25"/>
      <c r="H47" s="9"/>
      <c r="I47" s="20"/>
      <c r="J47" s="5"/>
      <c r="K47" s="5"/>
      <c r="L47" s="5"/>
      <c r="M47" s="5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6" t="s">
        <v>116</v>
      </c>
      <c r="C48" s="6"/>
      <c r="D48" s="6"/>
      <c r="E48" s="6"/>
      <c r="F48" s="14">
        <f>SUM(F4:F47)</f>
        <v>6137</v>
      </c>
      <c r="G48" s="8"/>
      <c r="H48" s="6"/>
      <c r="I48" s="22">
        <f>E4-F48</f>
        <v>25.569999999999709</v>
      </c>
      <c r="J48" s="35" t="s">
        <v>110</v>
      </c>
      <c r="K48" s="35"/>
      <c r="L48" s="35"/>
      <c r="M48" s="5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6" t="s">
        <v>10</v>
      </c>
      <c r="C49" s="6"/>
      <c r="D49" s="6"/>
      <c r="E49" s="13">
        <f>SUM(F48:I48)</f>
        <v>6162.57</v>
      </c>
      <c r="F49" s="6"/>
      <c r="G49" s="6"/>
      <c r="H49" s="6"/>
      <c r="I49" s="21"/>
      <c r="J49" s="5"/>
      <c r="K49" s="5"/>
      <c r="L49" s="5"/>
      <c r="M49" s="5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F52" s="1" t="s">
        <v>53</v>
      </c>
      <c r="G52" s="1"/>
      <c r="H52" s="1"/>
      <c r="I52" s="1">
        <v>1533.03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x14ac:dyDescent="0.35">
      <c r="B95" s="1"/>
      <c r="C95" s="1"/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x14ac:dyDescent="0.35">
      <c r="B96" s="1"/>
      <c r="C96" s="1"/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x14ac:dyDescent="0.35">
      <c r="B97" s="1"/>
      <c r="C97" s="1"/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x14ac:dyDescent="0.3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x14ac:dyDescent="0.3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x14ac:dyDescent="0.3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x14ac:dyDescent="0.3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x14ac:dyDescent="0.3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x14ac:dyDescent="0.3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x14ac:dyDescent="0.3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x14ac:dyDescent="0.3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x14ac:dyDescent="0.35">
      <c r="B106" s="1"/>
      <c r="C106" s="1"/>
      <c r="D106" s="1"/>
      <c r="E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x14ac:dyDescent="0.35">
      <c r="B107" s="1"/>
      <c r="C107" s="1"/>
      <c r="D107" s="1"/>
      <c r="E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x14ac:dyDescent="0.35">
      <c r="B108" s="1"/>
      <c r="C108" s="1"/>
      <c r="D108" s="1"/>
      <c r="E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x14ac:dyDescent="0.35">
      <c r="B109" s="1"/>
      <c r="C109" s="1"/>
      <c r="D109" s="1"/>
      <c r="E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x14ac:dyDescent="0.35">
      <c r="B110" s="1"/>
      <c r="C110" s="1"/>
      <c r="D110" s="1"/>
      <c r="E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x14ac:dyDescent="0.35">
      <c r="B111" s="1"/>
      <c r="C111" s="1"/>
      <c r="D111" s="1"/>
      <c r="E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x14ac:dyDescent="0.35">
      <c r="B112" s="1"/>
      <c r="C112" s="1"/>
      <c r="D112" s="1"/>
      <c r="E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x14ac:dyDescent="0.35">
      <c r="B113" s="1"/>
      <c r="C113" s="1"/>
      <c r="D113" s="1"/>
      <c r="E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x14ac:dyDescent="0.35">
      <c r="B114" s="1"/>
      <c r="C114" s="1"/>
      <c r="D114" s="1"/>
      <c r="E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x14ac:dyDescent="0.35">
      <c r="B115" s="1"/>
      <c r="C115" s="1"/>
      <c r="D115" s="1"/>
      <c r="E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x14ac:dyDescent="0.35">
      <c r="B116" s="1"/>
      <c r="C116" s="1"/>
      <c r="D116" s="1"/>
      <c r="E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x14ac:dyDescent="0.35">
      <c r="B117" s="1"/>
      <c r="C117" s="1"/>
      <c r="D117" s="1"/>
      <c r="E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x14ac:dyDescent="0.35">
      <c r="B118" s="1"/>
      <c r="C118" s="1"/>
      <c r="D118" s="1"/>
      <c r="E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x14ac:dyDescent="0.35">
      <c r="B119" s="1"/>
      <c r="C119" s="1"/>
      <c r="D119" s="1"/>
      <c r="E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x14ac:dyDescent="0.35">
      <c r="B120" s="1"/>
      <c r="C120" s="1"/>
      <c r="D120" s="1"/>
      <c r="E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x14ac:dyDescent="0.35">
      <c r="B121" s="1"/>
      <c r="C121" s="1"/>
      <c r="D121" s="1"/>
      <c r="E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x14ac:dyDescent="0.35">
      <c r="B122" s="1"/>
      <c r="C122" s="1"/>
      <c r="D122" s="1"/>
      <c r="E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</sheetData>
  <mergeCells count="2">
    <mergeCell ref="B2:I2"/>
    <mergeCell ref="J48:L48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ECA7-820D-4BE1-9837-EFDF67FD3DBB}">
  <dimension ref="B2:Y109"/>
  <sheetViews>
    <sheetView tabSelected="1" topLeftCell="B18" workbookViewId="0">
      <selection activeCell="I33" sqref="I3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4" t="s">
        <v>0</v>
      </c>
      <c r="C2" s="34"/>
      <c r="D2" s="34"/>
      <c r="E2" s="34"/>
      <c r="F2" s="34"/>
      <c r="G2" s="34"/>
      <c r="H2" s="34"/>
      <c r="I2" s="3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1704.62</v>
      </c>
      <c r="C4" s="6" t="s">
        <v>167</v>
      </c>
      <c r="D4" s="9">
        <v>46017</v>
      </c>
      <c r="E4" s="14">
        <f>SUM(B4:B10)</f>
        <v>3915.66</v>
      </c>
      <c r="F4" s="8">
        <v>30</v>
      </c>
      <c r="G4" s="8" t="s">
        <v>107</v>
      </c>
      <c r="H4" s="9">
        <v>46051</v>
      </c>
      <c r="I4" s="6">
        <f>(E4-F4)</f>
        <v>3885.66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75</v>
      </c>
      <c r="C5" s="6" t="s">
        <v>18</v>
      </c>
      <c r="D5" s="9">
        <v>46024</v>
      </c>
      <c r="E5" s="8"/>
      <c r="F5" s="7">
        <v>25</v>
      </c>
      <c r="G5" s="8" t="s">
        <v>169</v>
      </c>
      <c r="H5" s="9">
        <v>46051</v>
      </c>
      <c r="I5" s="6">
        <f>I4-F5</f>
        <v>3860.66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0</v>
      </c>
      <c r="C6" s="6" t="s">
        <v>117</v>
      </c>
      <c r="D6" s="9">
        <v>46024</v>
      </c>
      <c r="E6" s="8"/>
      <c r="F6" s="7">
        <v>100</v>
      </c>
      <c r="G6" s="8" t="s">
        <v>37</v>
      </c>
      <c r="H6" s="9">
        <v>46052</v>
      </c>
      <c r="I6" s="6">
        <f>I5-F6</f>
        <v>3760.66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33">
        <v>2136.04</v>
      </c>
      <c r="C7" s="6" t="s">
        <v>168</v>
      </c>
      <c r="D7" s="9">
        <v>46066</v>
      </c>
      <c r="E7" s="8"/>
      <c r="F7" s="32">
        <v>600</v>
      </c>
      <c r="G7" s="8" t="s">
        <v>170</v>
      </c>
      <c r="H7" s="9">
        <v>46052</v>
      </c>
      <c r="I7" s="6">
        <f>I6-F7</f>
        <v>3160.66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x14ac:dyDescent="0.35">
      <c r="B8" s="13"/>
      <c r="C8" s="6"/>
      <c r="D8" s="6"/>
      <c r="E8" s="6"/>
      <c r="F8" s="6">
        <v>25</v>
      </c>
      <c r="G8" s="8" t="s">
        <v>171</v>
      </c>
      <c r="H8" s="9">
        <v>46053</v>
      </c>
      <c r="I8" s="6">
        <f t="shared" ref="I8:I31" si="0">I7-F8</f>
        <v>3135.66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x14ac:dyDescent="0.35">
      <c r="B9" s="6"/>
      <c r="C9" s="6"/>
      <c r="D9" s="6"/>
      <c r="E9" s="6"/>
      <c r="F9" s="6">
        <v>67</v>
      </c>
      <c r="G9" s="8" t="s">
        <v>172</v>
      </c>
      <c r="H9" s="9">
        <v>46054</v>
      </c>
      <c r="I9" s="6">
        <f t="shared" si="0"/>
        <v>3068.66</v>
      </c>
      <c r="J9" s="5"/>
      <c r="K9" s="5"/>
      <c r="L9" s="5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40</v>
      </c>
      <c r="G10" s="8" t="s">
        <v>70</v>
      </c>
      <c r="H10" s="9">
        <v>46055</v>
      </c>
      <c r="I10" s="6">
        <f t="shared" si="0"/>
        <v>3028.66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100</v>
      </c>
      <c r="G11" s="8" t="s">
        <v>173</v>
      </c>
      <c r="H11" s="9">
        <v>46055</v>
      </c>
      <c r="I11" s="6">
        <f t="shared" si="0"/>
        <v>2928.66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120</v>
      </c>
      <c r="G12" s="8" t="s">
        <v>174</v>
      </c>
      <c r="H12" s="9">
        <v>46057</v>
      </c>
      <c r="I12" s="6">
        <f t="shared" si="0"/>
        <v>2808.66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18</v>
      </c>
      <c r="G13" s="8" t="s">
        <v>175</v>
      </c>
      <c r="H13" s="9">
        <v>46057</v>
      </c>
      <c r="I13" s="6">
        <f t="shared" si="0"/>
        <v>2790.66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1">
        <v>50</v>
      </c>
      <c r="G14" s="8" t="s">
        <v>173</v>
      </c>
      <c r="H14" s="9">
        <v>46057</v>
      </c>
      <c r="I14" s="6">
        <f t="shared" si="0"/>
        <v>2740.66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176</v>
      </c>
      <c r="H15" s="9">
        <v>46060</v>
      </c>
      <c r="I15" s="6">
        <f t="shared" si="0"/>
        <v>2690.66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>
        <v>50</v>
      </c>
      <c r="G16" s="8" t="s">
        <v>178</v>
      </c>
      <c r="H16" s="9">
        <v>46060</v>
      </c>
      <c r="I16" s="6">
        <f t="shared" si="0"/>
        <v>2640.66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6">
        <v>40</v>
      </c>
      <c r="G17" s="8" t="s">
        <v>177</v>
      </c>
      <c r="H17" s="9">
        <v>46062</v>
      </c>
      <c r="I17" s="6">
        <f t="shared" si="0"/>
        <v>2600.66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6">
        <v>206</v>
      </c>
      <c r="G18" s="8" t="s">
        <v>179</v>
      </c>
      <c r="H18" s="9">
        <v>46062</v>
      </c>
      <c r="I18" s="6">
        <f t="shared" si="0"/>
        <v>2394.66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6">
        <v>35</v>
      </c>
      <c r="G19" s="8" t="s">
        <v>183</v>
      </c>
      <c r="H19" s="9">
        <v>46062</v>
      </c>
      <c r="I19" s="6">
        <f t="shared" si="0"/>
        <v>2359.66</v>
      </c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/>
      <c r="C20" s="6"/>
      <c r="D20" s="6"/>
      <c r="E20" s="6"/>
      <c r="F20" s="6">
        <v>25</v>
      </c>
      <c r="G20" s="8" t="s">
        <v>184</v>
      </c>
      <c r="H20" s="9">
        <v>46062</v>
      </c>
      <c r="I20" s="6">
        <f t="shared" si="0"/>
        <v>2334.66</v>
      </c>
      <c r="J20" s="5"/>
      <c r="K20" s="5"/>
      <c r="L20" s="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/>
      <c r="C21" s="6"/>
      <c r="D21" s="6"/>
      <c r="E21" s="6"/>
      <c r="F21" s="6">
        <v>30</v>
      </c>
      <c r="G21" s="8" t="s">
        <v>180</v>
      </c>
      <c r="H21" s="9">
        <v>46065</v>
      </c>
      <c r="I21" s="6">
        <f t="shared" si="0"/>
        <v>2304.66</v>
      </c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6"/>
      <c r="C22" s="6"/>
      <c r="D22" s="6"/>
      <c r="E22" s="6"/>
      <c r="F22" s="6">
        <v>20</v>
      </c>
      <c r="G22" s="8" t="s">
        <v>182</v>
      </c>
      <c r="H22" s="9">
        <v>46065</v>
      </c>
      <c r="I22" s="6">
        <f t="shared" si="0"/>
        <v>2284.66</v>
      </c>
      <c r="J22" s="5"/>
      <c r="K22" s="5"/>
      <c r="L22" s="5"/>
      <c r="M22" s="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6"/>
      <c r="C23" s="6"/>
      <c r="D23" s="6"/>
      <c r="E23" s="6"/>
      <c r="F23" s="6">
        <v>40</v>
      </c>
      <c r="G23" s="8" t="s">
        <v>185</v>
      </c>
      <c r="H23" s="9">
        <v>46065</v>
      </c>
      <c r="I23" s="6">
        <f t="shared" si="0"/>
        <v>2244.66</v>
      </c>
      <c r="J23" s="5"/>
      <c r="K23" s="5"/>
      <c r="L23" s="5"/>
      <c r="M23" s="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6"/>
      <c r="C24" s="6"/>
      <c r="D24" s="6"/>
      <c r="E24" s="6"/>
      <c r="F24" s="6">
        <v>41</v>
      </c>
      <c r="G24" s="8" t="s">
        <v>57</v>
      </c>
      <c r="H24" s="9">
        <v>46065</v>
      </c>
      <c r="I24" s="6">
        <f t="shared" si="0"/>
        <v>2203.66</v>
      </c>
      <c r="J24" s="5"/>
      <c r="K24" s="5"/>
      <c r="L24" s="5"/>
      <c r="M24" s="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6"/>
      <c r="C25" s="6"/>
      <c r="D25" s="6"/>
      <c r="E25" s="6"/>
      <c r="F25" s="6">
        <v>10.5</v>
      </c>
      <c r="G25" s="8" t="s">
        <v>78</v>
      </c>
      <c r="H25" s="9">
        <v>46066</v>
      </c>
      <c r="I25" s="6">
        <f t="shared" si="0"/>
        <v>2193.16</v>
      </c>
      <c r="J25" s="5"/>
      <c r="K25" s="5"/>
      <c r="L25" s="5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6"/>
      <c r="C26" s="6"/>
      <c r="D26" s="6"/>
      <c r="E26" s="6"/>
      <c r="F26" s="6">
        <v>20</v>
      </c>
      <c r="G26" s="8" t="s">
        <v>186</v>
      </c>
      <c r="H26" s="9">
        <v>46067</v>
      </c>
      <c r="I26" s="6">
        <f t="shared" si="0"/>
        <v>2173.16</v>
      </c>
      <c r="J26" s="5"/>
      <c r="K26" s="5"/>
      <c r="L26" s="5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6"/>
      <c r="C27" s="6"/>
      <c r="D27" s="6"/>
      <c r="E27" s="6"/>
      <c r="F27" s="6">
        <v>100</v>
      </c>
      <c r="G27" s="8" t="s">
        <v>187</v>
      </c>
      <c r="H27" s="9">
        <v>46067</v>
      </c>
      <c r="I27" s="6">
        <f t="shared" si="0"/>
        <v>2073.16</v>
      </c>
      <c r="J27" s="5"/>
      <c r="K27" s="5"/>
      <c r="L27" s="5"/>
      <c r="M27" s="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6"/>
      <c r="C28" s="6"/>
      <c r="D28" s="6"/>
      <c r="E28" s="6"/>
      <c r="F28" s="6">
        <v>117</v>
      </c>
      <c r="G28" s="8" t="s">
        <v>188</v>
      </c>
      <c r="H28" s="9">
        <v>46068</v>
      </c>
      <c r="I28" s="6">
        <f t="shared" si="0"/>
        <v>1956.1599999999999</v>
      </c>
      <c r="J28" s="5"/>
      <c r="K28" s="5"/>
      <c r="L28" s="5"/>
      <c r="M28" s="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6"/>
      <c r="C29" s="6"/>
      <c r="D29" s="6"/>
      <c r="E29" s="6"/>
      <c r="F29" s="6">
        <v>20</v>
      </c>
      <c r="G29" s="8" t="s">
        <v>189</v>
      </c>
      <c r="H29" s="9">
        <v>46068</v>
      </c>
      <c r="I29" s="6">
        <f t="shared" si="0"/>
        <v>1936.1599999999999</v>
      </c>
      <c r="J29" s="5"/>
      <c r="K29" s="5"/>
      <c r="L29" s="5"/>
      <c r="M29" s="5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6"/>
      <c r="C30" s="6"/>
      <c r="D30" s="6"/>
      <c r="E30" s="6"/>
      <c r="F30" s="6">
        <v>200</v>
      </c>
      <c r="G30" s="8" t="s">
        <v>37</v>
      </c>
      <c r="H30" s="9">
        <v>46068</v>
      </c>
      <c r="I30" s="6">
        <f t="shared" si="0"/>
        <v>1736.1599999999999</v>
      </c>
      <c r="J30" s="5"/>
      <c r="K30" s="5"/>
      <c r="L30" s="5"/>
      <c r="M30" s="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6"/>
      <c r="C31" s="6"/>
      <c r="D31" s="6"/>
      <c r="E31" s="6"/>
      <c r="F31" s="6">
        <v>1153</v>
      </c>
      <c r="G31" s="8" t="s">
        <v>190</v>
      </c>
      <c r="H31" s="9">
        <v>46069</v>
      </c>
      <c r="I31" s="6">
        <f t="shared" si="0"/>
        <v>583.15999999999985</v>
      </c>
      <c r="J31" s="5"/>
      <c r="K31" s="5"/>
      <c r="L31" s="5"/>
      <c r="M31" s="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6"/>
      <c r="C32" s="6"/>
      <c r="D32" s="6"/>
      <c r="E32" s="6"/>
      <c r="F32" s="6"/>
      <c r="G32" s="8"/>
      <c r="H32" s="9"/>
      <c r="I32" s="20"/>
      <c r="J32" s="5"/>
      <c r="K32" s="5"/>
      <c r="L32" s="5"/>
      <c r="M32" s="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6"/>
      <c r="C33" s="6"/>
      <c r="D33" s="6"/>
      <c r="E33" s="6"/>
      <c r="F33" s="6"/>
      <c r="G33" s="8"/>
      <c r="H33" s="9"/>
      <c r="I33" s="20"/>
      <c r="J33" s="5"/>
      <c r="K33" s="5"/>
      <c r="L33" s="5"/>
      <c r="M33" s="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6"/>
      <c r="C34" s="6"/>
      <c r="D34" s="6"/>
      <c r="E34" s="6"/>
      <c r="F34" s="6"/>
      <c r="G34" s="25"/>
      <c r="H34" s="9"/>
      <c r="I34" s="20"/>
      <c r="J34" s="5"/>
      <c r="K34" s="5"/>
      <c r="L34" s="5"/>
      <c r="M34" s="5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6" t="s">
        <v>116</v>
      </c>
      <c r="C35" s="6"/>
      <c r="D35" s="6"/>
      <c r="E35" s="6"/>
      <c r="F35" s="14">
        <f>SUM(F4:F34)</f>
        <v>3332.5</v>
      </c>
      <c r="G35" s="8"/>
      <c r="H35" s="6"/>
      <c r="I35" s="22">
        <f>E4-F35</f>
        <v>583.15999999999985</v>
      </c>
      <c r="J35" s="35" t="s">
        <v>110</v>
      </c>
      <c r="K35" s="35"/>
      <c r="L35" s="35"/>
      <c r="M35" s="5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6" t="s">
        <v>10</v>
      </c>
      <c r="C36" s="6"/>
      <c r="D36" s="6"/>
      <c r="E36" s="13">
        <f>SUM(F35:I35)</f>
        <v>3915.66</v>
      </c>
      <c r="F36" s="6"/>
      <c r="G36" s="6"/>
      <c r="H36" s="6"/>
      <c r="I36" s="21"/>
      <c r="J36" s="5"/>
      <c r="K36" s="5"/>
      <c r="L36" s="5"/>
      <c r="M36" s="5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1"/>
      <c r="C37" s="1"/>
      <c r="D37" s="1"/>
      <c r="E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F39" s="1" t="s">
        <v>53</v>
      </c>
      <c r="G39" s="1"/>
      <c r="H39" s="1"/>
      <c r="I39" s="1">
        <v>1533.03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F41" s="1" t="s">
        <v>181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x14ac:dyDescent="0.35">
      <c r="B95" s="1"/>
      <c r="C95" s="1"/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x14ac:dyDescent="0.35">
      <c r="B96" s="1"/>
      <c r="C96" s="1"/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x14ac:dyDescent="0.35">
      <c r="B97" s="1"/>
      <c r="C97" s="1"/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x14ac:dyDescent="0.3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x14ac:dyDescent="0.3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x14ac:dyDescent="0.3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x14ac:dyDescent="0.3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x14ac:dyDescent="0.3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x14ac:dyDescent="0.3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x14ac:dyDescent="0.3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x14ac:dyDescent="0.3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x14ac:dyDescent="0.35">
      <c r="B106" s="1"/>
      <c r="C106" s="1"/>
      <c r="D106" s="1"/>
      <c r="E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x14ac:dyDescent="0.35">
      <c r="B107" s="1"/>
      <c r="C107" s="1"/>
      <c r="D107" s="1"/>
      <c r="E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x14ac:dyDescent="0.35">
      <c r="B108" s="1"/>
      <c r="C108" s="1"/>
      <c r="D108" s="1"/>
      <c r="E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x14ac:dyDescent="0.35">
      <c r="B109" s="1"/>
      <c r="C109" s="1"/>
      <c r="D109" s="1"/>
      <c r="E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</sheetData>
  <mergeCells count="2">
    <mergeCell ref="B2:I2"/>
    <mergeCell ref="J35:L35"/>
  </mergeCells>
  <pageMargins left="0.7" right="0.7" top="0.75" bottom="0.75" header="0.3" footer="0.3"/>
  <pageSetup paperSize="0" orientation="portrait" horizontalDpi="18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ColWidth="10.90625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4"/>
      <c r="C2" s="34"/>
      <c r="D2" s="34"/>
      <c r="E2" s="34"/>
      <c r="F2" s="34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ColWidth="10.90625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6" t="s">
        <v>134</v>
      </c>
      <c r="C2" s="36"/>
      <c r="D2" s="36"/>
      <c r="E2" s="36"/>
      <c r="F2" s="36"/>
      <c r="G2" s="36"/>
      <c r="H2" s="36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Septie2025</vt:lpstr>
      <vt:lpstr>Octub2025</vt:lpstr>
      <vt:lpstr>Noviem2025</vt:lpstr>
      <vt:lpstr>Diciem2025</vt:lpstr>
      <vt:lpstr>Ene2026</vt:lpstr>
      <vt:lpstr>Feb2026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2026-02-16T18:08:54Z</dcterms:modified>
</cp:coreProperties>
</file>