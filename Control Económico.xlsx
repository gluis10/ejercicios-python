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8C35B90E-6314-4BCF-9D7E-E8F273E4B4C7}" xr6:coauthVersionLast="47" xr6:coauthVersionMax="47" xr10:uidLastSave="{00000000-0000-0000-0000-000000000000}"/>
  <bookViews>
    <workbookView xWindow="-110" yWindow="-110" windowWidth="19420" windowHeight="10300" firstSheet="2" activeTab="6" xr2:uid="{00000000-000D-0000-FFFF-FFFF00000000}"/>
  </bookViews>
  <sheets>
    <sheet name="Septie2025" sheetId="1" r:id="rId1"/>
    <sheet name="Octub2025" sheetId="3" r:id="rId2"/>
    <sheet name="Noviem2025" sheetId="4" r:id="rId3"/>
    <sheet name="Diciem2025" sheetId="7" r:id="rId4"/>
    <sheet name="Ene2026" sheetId="8" r:id="rId5"/>
    <sheet name="Presupuesto 2026" sheetId="9" r:id="rId6"/>
    <sheet name="PresupV1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1" l="1"/>
  <c r="H6" i="11"/>
  <c r="H7" i="11" s="1"/>
  <c r="H8" i="11" s="1"/>
  <c r="H9" i="11" s="1"/>
  <c r="H5" i="11"/>
  <c r="H4" i="11"/>
  <c r="F10" i="11"/>
  <c r="F6" i="11"/>
  <c r="F7" i="11" s="1"/>
  <c r="F8" i="11" s="1"/>
  <c r="F9" i="11" s="1"/>
  <c r="F5" i="11"/>
  <c r="F4" i="11"/>
  <c r="C7" i="9"/>
  <c r="D6" i="9"/>
  <c r="D5" i="9"/>
  <c r="F20" i="8"/>
  <c r="E4" i="8"/>
  <c r="I4" i="8" s="1"/>
  <c r="I5" i="8" s="1"/>
  <c r="I6" i="8" s="1"/>
  <c r="D4" i="7"/>
  <c r="E31" i="7"/>
  <c r="E36" i="4"/>
  <c r="D4" i="4"/>
  <c r="E40" i="3"/>
  <c r="D4" i="3"/>
  <c r="E18" i="1"/>
  <c r="D4" i="1"/>
  <c r="H31" i="7" l="1"/>
  <c r="D32" i="7" s="1"/>
  <c r="I20" i="8"/>
  <c r="E21" i="8" s="1"/>
  <c r="H4" i="7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36" i="4"/>
  <c r="D37" i="4" s="1"/>
  <c r="H40" i="3"/>
  <c r="D41" i="3" s="1"/>
  <c r="H18" i="1"/>
  <c r="D19" i="1" s="1"/>
  <c r="H17" i="7" l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</calcChain>
</file>

<file path=xl/sharedStrings.xml><?xml version="1.0" encoding="utf-8"?>
<sst xmlns="http://schemas.openxmlformats.org/spreadsheetml/2006/main" count="225" uniqueCount="136">
  <si>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</si>
  <si>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</si>
  <si>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</si>
  <si>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</si>
  <si>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</si>
  <si>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</si>
  <si>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</si>
  <si>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</si>
  <si>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</si>
  <si>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</si>
  <si>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</si>
  <si>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</si>
  <si>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</si>
  <si>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</si>
  <si>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</si>
  <si>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</si>
  <si>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</si>
  <si>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</si>
  <si>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</si>
  <si>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</si>
  <si>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</si>
  <si>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</si>
  <si>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</si>
  <si>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</si>
  <si>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</si>
  <si>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</si>
  <si>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</si>
  <si>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</si>
  <si>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</si>
  <si>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</si>
  <si>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</si>
  <si>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</si>
  <si>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</si>
  <si>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</si>
  <si>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</si>
  <si>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</si>
  <si>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</si>
  <si>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</si>
  <si>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</si>
  <si>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</si>
  <si>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</si>
  <si>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</si>
  <si>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</si>
  <si>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</si>
  <si>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</si>
  <si>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</si>
  <si>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</si>
  <si>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</si>
  <si>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</si>
  <si>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</si>
  <si>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</si>
  <si>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</si>
  <si>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</si>
  <si>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</si>
  <si>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</si>
  <si>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</si>
  <si>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</si>
  <si>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</si>
  <si>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</si>
  <si>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</si>
  <si>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</si>
  <si>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</si>
  <si>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</si>
  <si>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</si>
  <si>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</si>
  <si>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</si>
  <si>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</si>
  <si>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</si>
  <si>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</si>
  <si>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</si>
  <si>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</si>
  <si>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</si>
  <si>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</si>
  <si>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</si>
  <si>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</si>
  <si>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</si>
  <si>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</si>
  <si>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</si>
  <si>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</si>
  <si>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</si>
  <si>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</si>
  <si>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</si>
  <si>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</si>
  <si>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</si>
  <si>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</si>
  <si>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</si>
  <si>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</si>
  <si>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</si>
  <si>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</si>
  <si>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</si>
  <si>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</si>
  <si>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</si>
  <si>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</si>
  <si>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</si>
  <si>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</si>
  <si>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</si>
  <si>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</si>
  <si>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</si>
  <si>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</si>
  <si>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</si>
  <si>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</si>
  <si>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</si>
  <si>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</si>
  <si>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</si>
  <si>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</si>
  <si>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</si>
  <si>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</si>
  <si>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</si>
  <si>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</si>
  <si>
    <t>Retrovisor derecho</t>
  </si>
  <si>
    <t>En cuenta de (Ahorro mas Monetaria)</t>
  </si>
  <si>
    <t xml:space="preserve">Enderazado y armado de Moto </t>
  </si>
  <si>
    <t>Base y barra de Moto (Repuesto)</t>
  </si>
  <si>
    <t>2da-15cena diciembre 2025</t>
  </si>
  <si>
    <t>pendiente</t>
  </si>
  <si>
    <t>1ra-15cena enero 2026</t>
  </si>
  <si>
    <t>Totol gastado</t>
  </si>
  <si>
    <t>Extra Random</t>
  </si>
  <si>
    <t>FECHA DE ENVÍO</t>
  </si>
  <si>
    <t>Matrícula de Universidad</t>
  </si>
  <si>
    <t>FECHA DE PAGO</t>
  </si>
  <si>
    <t>CANTIDAD</t>
  </si>
  <si>
    <t>Mensualidad - Enero</t>
  </si>
  <si>
    <t>SUMATORIA</t>
  </si>
  <si>
    <t>Renta de casa</t>
  </si>
  <si>
    <t>Total enero</t>
  </si>
  <si>
    <t>CRÉDITO</t>
  </si>
  <si>
    <t>Pago de Universidad</t>
  </si>
  <si>
    <t>DÉBITO MENSUAL</t>
  </si>
  <si>
    <t>Combustible mensual</t>
  </si>
  <si>
    <t>Gastos para comidad mensual</t>
  </si>
  <si>
    <t>Pago de Internet Movil</t>
  </si>
  <si>
    <t>Pago Mensual</t>
  </si>
  <si>
    <t>Gatos extras</t>
  </si>
  <si>
    <t>PRESUPUESTO MENSUAL 2026</t>
  </si>
  <si>
    <t>SALDO SOBRANTE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</si>
</sst>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Fill="1"/>
    <xf numFmtId="0" fontId="0" fillId="0" borderId="1" xfId="0" applyBorder="1"/>
    <xf numFmtId="164" fontId="1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/>
    <xf numFmtId="0" fontId="0" fillId="0" borderId="0" xfId="0" applyNumberFormat="1"/>
    <xf numFmtId="0" fontId="4" fillId="0" borderId="1" xfId="0" applyNumberFormat="1" applyFont="1" applyBorder="1" applyAlignment="1">
      <alignment horizontal="left" wrapText="1"/>
    </xf>
    <xf numFmtId="0" fontId="4" fillId="0" borderId="1" xfId="0" applyNumberFormat="1" applyFont="1" applyBorder="1" applyAlignment="1">
      <alignment horizontal="left"/>
    </xf>
    <xf numFmtId="164" fontId="4" fillId="0" borderId="0" xfId="0" applyNumberFormat="1" applyFont="1" applyBorder="1" applyAlignment="1">
      <alignment horizontal="right" wrapText="1"/>
    </xf>
    <xf numFmtId="164" fontId="4" fillId="0" borderId="0" xfId="0" applyNumberFormat="1" applyFont="1" applyBorder="1"/>
    <xf numFmtId="16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9B58A-F89F-495A-9616-A935D88CE666}">
  <dimension ref="B2:X105"/>
  <sheetViews>
    <sheetView workbookViewId="0">
      <selection activeCell="G25" sqref="G2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26" t="s">
        <v>0</v>
      </c>
      <c r="C2" s="26"/>
      <c r="D2" s="26"/>
      <c r="E2" s="26"/>
      <c r="F2" s="26"/>
      <c r="G2" s="26"/>
      <c r="H2" s="2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45991</v>
      </c>
      <c r="H4" s="6">
        <f>(D4-E4)</f>
        <v>6235.9</v>
      </c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>
        <f>H4-E5</f>
        <v>6135.9</v>
      </c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>
        <f t="shared" ref="H6:H30" si="0">H5-E6</f>
        <v>6035.9</v>
      </c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91</v>
      </c>
      <c r="G7" s="9">
        <v>46031</v>
      </c>
      <c r="H7" s="6">
        <f t="shared" si="0"/>
        <v>5820.9</v>
      </c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94</v>
      </c>
      <c r="D8" s="8"/>
      <c r="E8" s="7">
        <v>100</v>
      </c>
      <c r="F8" s="8" t="s">
        <v>92</v>
      </c>
      <c r="G8" s="9">
        <v>46032</v>
      </c>
      <c r="H8" s="6">
        <f t="shared" si="0"/>
        <v>5720.9</v>
      </c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93</v>
      </c>
      <c r="G9" s="9">
        <v>46033</v>
      </c>
      <c r="H9" s="6">
        <f t="shared" si="0"/>
        <v>5680.9</v>
      </c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>
        <f t="shared" si="0"/>
        <v>5630.9</v>
      </c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>
        <f t="shared" si="0"/>
        <v>5600.9</v>
      </c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>
        <f t="shared" si="0"/>
        <v>5500.9</v>
      </c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95</v>
      </c>
      <c r="G13" s="9">
        <v>46371</v>
      </c>
      <c r="H13" s="6">
        <f>H12-E13</f>
        <v>5460.9</v>
      </c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96</v>
      </c>
      <c r="G14" s="9">
        <v>46373</v>
      </c>
      <c r="H14" s="6">
        <f t="shared" si="0"/>
        <v>5410.9</v>
      </c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>
        <f t="shared" si="0"/>
        <v>5160.8999999999996</v>
      </c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99</v>
      </c>
      <c r="G16" s="9">
        <v>46371</v>
      </c>
      <c r="H16" s="6">
        <f t="shared" si="0"/>
        <v>5130.8999999999996</v>
      </c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98</v>
      </c>
      <c r="G17" s="9">
        <v>46371</v>
      </c>
      <c r="H17" s="6">
        <f>H16-E17</f>
        <v>5090.8999999999996</v>
      </c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97</v>
      </c>
      <c r="G18" s="9">
        <v>46376</v>
      </c>
      <c r="H18" s="6">
        <f t="shared" si="0"/>
        <v>4065.8999999999996</v>
      </c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100</v>
      </c>
      <c r="G19" s="9">
        <v>46376</v>
      </c>
      <c r="H19" s="6">
        <f t="shared" si="0"/>
        <v>4025.8999999999996</v>
      </c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>
        <f t="shared" si="0"/>
        <v>3925.8999999999996</v>
      </c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101</v>
      </c>
      <c r="G21" s="9">
        <v>46013</v>
      </c>
      <c r="H21" s="6">
        <f>H20-E21</f>
        <v>3850.8999999999996</v>
      </c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102</v>
      </c>
      <c r="G22" s="9">
        <v>46013</v>
      </c>
      <c r="H22" s="6">
        <f t="shared" si="0"/>
        <v>3620.8999999999996</v>
      </c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103</v>
      </c>
      <c r="G23" s="9">
        <v>46013</v>
      </c>
      <c r="H23" s="6">
        <f t="shared" si="0"/>
        <v>3505.8999999999996</v>
      </c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104</v>
      </c>
      <c r="G24" s="9">
        <v>46014</v>
      </c>
      <c r="H24" s="6">
        <f t="shared" si="0"/>
        <v>3205.8999999999996</v>
      </c>
      <c r="I24" s="27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650</v>
      </c>
      <c r="F25" s="8" t="s">
        <v>111</v>
      </c>
      <c r="G25" s="9">
        <v>46019</v>
      </c>
      <c r="H25" s="6">
        <f t="shared" si="0"/>
        <v>2555.8999999999996</v>
      </c>
      <c r="I25" s="27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250</v>
      </c>
      <c r="F26" s="8" t="s">
        <v>112</v>
      </c>
      <c r="G26" s="9">
        <v>46019</v>
      </c>
      <c r="H26" s="6">
        <f t="shared" si="0"/>
        <v>2305.8999999999996</v>
      </c>
      <c r="I26" s="27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30</v>
      </c>
      <c r="F27" s="8" t="s">
        <v>105</v>
      </c>
      <c r="G27" s="9">
        <v>46020</v>
      </c>
      <c r="H27" s="6">
        <f t="shared" si="0"/>
        <v>2275.8999999999996</v>
      </c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109</v>
      </c>
      <c r="G28" s="9">
        <v>46020</v>
      </c>
      <c r="H28" s="6">
        <f t="shared" si="0"/>
        <v>2175.8999999999996</v>
      </c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45</v>
      </c>
      <c r="F29" s="8" t="s">
        <v>108</v>
      </c>
      <c r="G29" s="9">
        <v>46021</v>
      </c>
      <c r="H29" s="6">
        <f t="shared" si="0"/>
        <v>2130.8999999999996</v>
      </c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40</v>
      </c>
      <c r="F30" s="8" t="s">
        <v>106</v>
      </c>
      <c r="G30" s="9">
        <v>46022</v>
      </c>
      <c r="H30" s="6">
        <f t="shared" si="0"/>
        <v>2090.8999999999996</v>
      </c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14">
        <f>SUM(E4:E30)</f>
        <v>4255</v>
      </c>
      <c r="F31" s="6"/>
      <c r="G31" s="6"/>
      <c r="H31" s="22">
        <f>D4-E31</f>
        <v>2090.8999999999996</v>
      </c>
      <c r="I31" s="25" t="s">
        <v>110</v>
      </c>
      <c r="J31" s="25"/>
      <c r="K31" s="2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 t="s">
        <v>10</v>
      </c>
      <c r="C32" s="6"/>
      <c r="D32" s="13">
        <f>SUM(E31:H31)</f>
        <v>6345.9</v>
      </c>
      <c r="E32" s="6"/>
      <c r="F32" s="6"/>
      <c r="G32" s="6"/>
      <c r="H32" s="21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 t="s">
        <v>53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</sheetData>
  <mergeCells count="2">
    <mergeCell ref="B2:H2"/>
    <mergeCell ref="I31:K31"/>
  </mergeCells>
  <pageMargins left="0.7" right="0.7" top="0.75" bottom="0.75" header="0.3" footer="0.3"/>
  <pageSetup paperSize="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96E7-8BBE-4BB1-B062-6F807BAF4D7C}">
  <dimension ref="B2:Y94"/>
  <sheetViews>
    <sheetView workbookViewId="0">
      <selection activeCell="G14" sqref="G14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5.453125" customWidth="1"/>
    <col min="4" max="4" width="16.36328125" customWidth="1"/>
    <col min="5" max="5" width="13.7265625" customWidth="1"/>
    <col min="6" max="6" width="18.1796875" customWidth="1"/>
    <col min="7" max="7" width="34.81640625" customWidth="1"/>
    <col min="8" max="8" width="11.08984375" customWidth="1"/>
    <col min="9" max="9" width="13.26953125" customWidth="1"/>
    <col min="11" max="11" width="11.90625" customWidth="1"/>
    <col min="12" max="12" width="12.90625" customWidth="1"/>
  </cols>
  <sheetData>
    <row r="2" spans="2:25" x14ac:dyDescent="0.35">
      <c r="B2" s="26" t="s">
        <v>0</v>
      </c>
      <c r="C2" s="26"/>
      <c r="D2" s="26"/>
      <c r="E2" s="26"/>
      <c r="F2" s="26"/>
      <c r="G2" s="26"/>
      <c r="H2" s="26"/>
      <c r="I2" s="2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18" customHeight="1" x14ac:dyDescent="0.35">
      <c r="B3" s="29" t="s">
        <v>6</v>
      </c>
      <c r="C3" s="29" t="s">
        <v>87</v>
      </c>
      <c r="D3" s="29" t="s">
        <v>118</v>
      </c>
      <c r="E3" s="30" t="s">
        <v>50</v>
      </c>
      <c r="F3" s="30" t="s">
        <v>85</v>
      </c>
      <c r="G3" s="30" t="s">
        <v>86</v>
      </c>
      <c r="H3" s="30" t="s">
        <v>4</v>
      </c>
      <c r="I3" s="29" t="s">
        <v>7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4.5" customHeight="1" x14ac:dyDescent="0.35">
      <c r="B4" s="13">
        <v>1915.98</v>
      </c>
      <c r="C4" s="6" t="s">
        <v>113</v>
      </c>
      <c r="D4" s="9">
        <v>46017</v>
      </c>
      <c r="E4" s="14">
        <f>SUM(B4:B9)</f>
        <v>4026.88</v>
      </c>
      <c r="F4" s="8">
        <v>30</v>
      </c>
      <c r="G4" s="8" t="s">
        <v>107</v>
      </c>
      <c r="H4" s="9">
        <v>46023</v>
      </c>
      <c r="I4" s="6">
        <f>(E4-F4)</f>
        <v>3996.88</v>
      </c>
      <c r="J4" s="5"/>
      <c r="K4" s="5"/>
      <c r="L4" s="5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4.5" customHeight="1" x14ac:dyDescent="0.35">
      <c r="B5" s="13">
        <v>2090.9</v>
      </c>
      <c r="C5" s="6" t="s">
        <v>18</v>
      </c>
      <c r="D5" s="9">
        <v>46024</v>
      </c>
      <c r="E5" s="8"/>
      <c r="F5" s="7">
        <v>0</v>
      </c>
      <c r="G5" s="8" t="s">
        <v>114</v>
      </c>
      <c r="H5" s="9">
        <v>46024</v>
      </c>
      <c r="I5" s="6">
        <f>I4-F5</f>
        <v>3996.88</v>
      </c>
      <c r="J5" s="5"/>
      <c r="K5" s="5"/>
      <c r="L5" s="5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14.5" customHeight="1" x14ac:dyDescent="0.35">
      <c r="B6" s="13">
        <v>20</v>
      </c>
      <c r="C6" s="6" t="s">
        <v>117</v>
      </c>
      <c r="D6" s="9">
        <v>46024</v>
      </c>
      <c r="E6" s="8"/>
      <c r="F6" s="7">
        <v>0</v>
      </c>
      <c r="G6" s="8" t="s">
        <v>114</v>
      </c>
      <c r="H6" s="9">
        <v>46025</v>
      </c>
      <c r="I6" s="6">
        <f>I5-F6</f>
        <v>3996.88</v>
      </c>
      <c r="J6" s="5"/>
      <c r="K6" s="5"/>
      <c r="L6" s="5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2:25" ht="14.5" customHeight="1" x14ac:dyDescent="0.35">
      <c r="B7" s="24" t="s">
        <v>114</v>
      </c>
      <c r="C7" s="6" t="s">
        <v>115</v>
      </c>
      <c r="D7" s="6"/>
      <c r="E7" s="8"/>
      <c r="F7" s="28"/>
      <c r="G7" s="28"/>
      <c r="H7" s="28"/>
      <c r="I7" s="28"/>
      <c r="J7" s="5"/>
      <c r="K7" s="5"/>
      <c r="L7" s="5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14.5" customHeight="1" x14ac:dyDescent="0.35">
      <c r="B8" s="13"/>
      <c r="C8" s="6"/>
      <c r="D8" s="6"/>
      <c r="E8" s="8"/>
      <c r="F8" s="7"/>
      <c r="G8" s="8"/>
      <c r="H8" s="9"/>
      <c r="I8" s="6"/>
      <c r="J8" s="5"/>
      <c r="K8" s="5"/>
      <c r="L8" s="5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14.5" customHeight="1" x14ac:dyDescent="0.35">
      <c r="B9" s="6"/>
      <c r="C9" s="6"/>
      <c r="D9" s="6"/>
      <c r="E9" s="8"/>
      <c r="F9" s="7"/>
      <c r="G9" s="8"/>
      <c r="H9" s="9"/>
      <c r="I9" s="6"/>
      <c r="J9" s="5"/>
      <c r="K9" s="5"/>
      <c r="L9" s="18"/>
      <c r="M9" s="5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x14ac:dyDescent="0.35">
      <c r="B10" s="6"/>
      <c r="C10" s="6"/>
      <c r="D10" s="6"/>
      <c r="E10" s="6"/>
      <c r="F10" s="6"/>
      <c r="G10" s="8"/>
      <c r="H10" s="9"/>
      <c r="I10" s="6"/>
      <c r="J10" s="5"/>
      <c r="K10" s="5"/>
      <c r="L10" s="5"/>
      <c r="M10" s="5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x14ac:dyDescent="0.35">
      <c r="B11" s="6"/>
      <c r="C11" s="6"/>
      <c r="D11" s="6"/>
      <c r="E11" s="6"/>
      <c r="F11" s="6"/>
      <c r="G11" s="8"/>
      <c r="H11" s="9"/>
      <c r="I11" s="6"/>
      <c r="J11" s="5"/>
      <c r="K11" s="5"/>
      <c r="L11" s="5"/>
      <c r="M11" s="5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x14ac:dyDescent="0.35">
      <c r="B12" s="6"/>
      <c r="C12" s="6"/>
      <c r="D12" s="6"/>
      <c r="E12" s="6"/>
      <c r="F12" s="6"/>
      <c r="G12" s="8"/>
      <c r="H12" s="9"/>
      <c r="I12" s="6"/>
      <c r="J12" s="5"/>
      <c r="K12" s="5"/>
      <c r="L12" s="5"/>
      <c r="M12" s="5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x14ac:dyDescent="0.35">
      <c r="B13" s="6"/>
      <c r="C13" s="6"/>
      <c r="D13" s="6"/>
      <c r="E13" s="6"/>
      <c r="F13" s="6"/>
      <c r="G13" s="8"/>
      <c r="H13" s="9"/>
      <c r="I13" s="6"/>
      <c r="J13" s="5"/>
      <c r="K13" s="5"/>
      <c r="L13" s="5"/>
      <c r="M13" s="5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x14ac:dyDescent="0.35">
      <c r="B14" s="6"/>
      <c r="C14" s="6"/>
      <c r="D14" s="6"/>
      <c r="E14" s="6"/>
      <c r="F14" s="6"/>
      <c r="G14" s="8"/>
      <c r="H14" s="9"/>
      <c r="I14" s="6"/>
      <c r="J14" s="5"/>
      <c r="K14" s="5"/>
      <c r="L14" s="5"/>
      <c r="M14" s="5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x14ac:dyDescent="0.35">
      <c r="B15" s="6"/>
      <c r="C15" s="6"/>
      <c r="D15" s="6"/>
      <c r="E15" s="6"/>
      <c r="F15" s="6"/>
      <c r="G15" s="8"/>
      <c r="H15" s="9"/>
      <c r="I15" s="6"/>
      <c r="J15" s="5"/>
      <c r="K15" s="5"/>
      <c r="L15" s="5"/>
      <c r="M15" s="5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x14ac:dyDescent="0.35">
      <c r="B16" s="6"/>
      <c r="C16" s="6"/>
      <c r="D16" s="6"/>
      <c r="E16" s="6"/>
      <c r="F16" s="6"/>
      <c r="G16" s="8"/>
      <c r="H16" s="9"/>
      <c r="I16" s="6"/>
      <c r="J16" s="5"/>
      <c r="K16" s="5"/>
      <c r="L16" s="5"/>
      <c r="M16" s="5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x14ac:dyDescent="0.35">
      <c r="B17" s="6"/>
      <c r="C17" s="6"/>
      <c r="D17" s="6"/>
      <c r="E17" s="6"/>
      <c r="F17" s="6"/>
      <c r="G17" s="8"/>
      <c r="H17" s="9"/>
      <c r="I17" s="6"/>
      <c r="J17" s="5"/>
      <c r="K17" s="5"/>
      <c r="L17" s="5"/>
      <c r="M17" s="5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x14ac:dyDescent="0.35">
      <c r="B18" s="6"/>
      <c r="C18" s="6"/>
      <c r="D18" s="6"/>
      <c r="E18" s="6"/>
      <c r="F18" s="6"/>
      <c r="G18" s="8"/>
      <c r="H18" s="9"/>
      <c r="I18" s="6"/>
      <c r="J18" s="27"/>
      <c r="K18" s="5"/>
      <c r="L18" s="5"/>
      <c r="M18" s="5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x14ac:dyDescent="0.35">
      <c r="B19" s="6"/>
      <c r="C19" s="6"/>
      <c r="D19" s="6"/>
      <c r="E19" s="6"/>
      <c r="F19" s="6"/>
      <c r="G19" s="8"/>
      <c r="H19" s="9"/>
      <c r="I19" s="20"/>
      <c r="J19" s="5"/>
      <c r="K19" s="5"/>
      <c r="L19" s="5"/>
      <c r="M19" s="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x14ac:dyDescent="0.35">
      <c r="B20" s="6" t="s">
        <v>116</v>
      </c>
      <c r="C20" s="6"/>
      <c r="D20" s="6"/>
      <c r="E20" s="6"/>
      <c r="F20" s="14">
        <f>SUM(F4:F19)</f>
        <v>30</v>
      </c>
      <c r="G20" s="6"/>
      <c r="H20" s="6"/>
      <c r="I20" s="22">
        <f>E4-F20</f>
        <v>3996.88</v>
      </c>
      <c r="J20" s="25" t="s">
        <v>110</v>
      </c>
      <c r="K20" s="25"/>
      <c r="L20" s="25"/>
      <c r="M20" s="5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x14ac:dyDescent="0.35">
      <c r="B21" s="6" t="s">
        <v>10</v>
      </c>
      <c r="C21" s="6"/>
      <c r="D21" s="6"/>
      <c r="E21" s="13">
        <f>SUM(F20:I20)</f>
        <v>4026.88</v>
      </c>
      <c r="F21" s="6"/>
      <c r="G21" s="6"/>
      <c r="H21" s="6"/>
      <c r="I21" s="21"/>
      <c r="J21" s="5"/>
      <c r="K21" s="5"/>
      <c r="L21" s="5"/>
      <c r="M21" s="5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x14ac:dyDescent="0.35">
      <c r="B24" s="1"/>
      <c r="C24" s="1"/>
      <c r="D24" s="1"/>
      <c r="E24" s="1"/>
      <c r="F24" s="1" t="s">
        <v>53</v>
      </c>
      <c r="G24" s="1"/>
      <c r="H24" s="1"/>
      <c r="I24" s="1">
        <v>1533.03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</sheetData>
  <mergeCells count="2">
    <mergeCell ref="B2:I2"/>
    <mergeCell ref="J20:L20"/>
  </mergeCells>
  <pageMargins left="0.7" right="0.7" top="0.75" bottom="0.75" header="0.3" footer="0.3"/>
  <pageSetup paperSize="0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DF303-38A9-4871-A42F-526357F8CC3F}">
  <dimension ref="B2:F8"/>
  <sheetViews>
    <sheetView topLeftCell="A3" workbookViewId="0">
      <selection activeCell="F12" sqref="F12"/>
    </sheetView>
  </sheetViews>
  <sheetFormatPr baseColWidth="10" defaultRowHeight="14.5" x14ac:dyDescent="0.35"/>
  <cols>
    <col min="1" max="1" width="2.81640625" customWidth="1"/>
    <col min="2" max="3" width="24.1796875" customWidth="1"/>
    <col min="4" max="5" width="16.08984375" customWidth="1"/>
    <col min="6" max="6" width="30.54296875" customWidth="1"/>
  </cols>
  <sheetData>
    <row r="2" spans="2:6" x14ac:dyDescent="0.35">
      <c r="B2" s="26"/>
      <c r="C2" s="26"/>
      <c r="D2" s="26"/>
      <c r="E2" s="26"/>
      <c r="F2" s="26"/>
    </row>
    <row r="3" spans="2:6" ht="28" customHeight="1" x14ac:dyDescent="0.35">
      <c r="B3" s="29" t="s">
        <v>87</v>
      </c>
      <c r="C3" s="30" t="s">
        <v>121</v>
      </c>
      <c r="D3" s="29" t="s">
        <v>123</v>
      </c>
      <c r="E3" s="29" t="s">
        <v>120</v>
      </c>
      <c r="F3" s="30" t="s">
        <v>86</v>
      </c>
    </row>
    <row r="4" spans="2:6" ht="15.5" customHeight="1" x14ac:dyDescent="0.35">
      <c r="B4" s="6" t="s">
        <v>119</v>
      </c>
      <c r="C4" s="8">
        <v>3000</v>
      </c>
      <c r="D4" s="9"/>
      <c r="E4" s="9">
        <v>46032</v>
      </c>
      <c r="F4" s="8" t="s">
        <v>114</v>
      </c>
    </row>
    <row r="5" spans="2:6" x14ac:dyDescent="0.35">
      <c r="B5" s="6" t="s">
        <v>122</v>
      </c>
      <c r="C5" s="7">
        <v>2000</v>
      </c>
      <c r="D5" s="7">
        <f>C4+C5</f>
        <v>5000</v>
      </c>
      <c r="E5" s="9">
        <v>46037</v>
      </c>
      <c r="F5" s="8" t="s">
        <v>114</v>
      </c>
    </row>
    <row r="6" spans="2:6" x14ac:dyDescent="0.35">
      <c r="B6" s="6" t="s">
        <v>124</v>
      </c>
      <c r="C6" s="7">
        <v>600</v>
      </c>
      <c r="D6" s="7">
        <f>C6+D5</f>
        <v>5600</v>
      </c>
      <c r="E6" s="9">
        <v>46052</v>
      </c>
      <c r="F6" s="8" t="s">
        <v>114</v>
      </c>
    </row>
    <row r="7" spans="2:6" x14ac:dyDescent="0.35">
      <c r="B7" s="6" t="s">
        <v>125</v>
      </c>
      <c r="C7" s="6">
        <f>SUM(C4:C6)</f>
        <v>5600</v>
      </c>
      <c r="D7" s="6"/>
      <c r="E7" s="6"/>
      <c r="F7" s="28"/>
    </row>
    <row r="8" spans="2:6" x14ac:dyDescent="0.35">
      <c r="B8" s="6"/>
      <c r="C8" s="6"/>
      <c r="D8" s="6"/>
      <c r="E8" s="6"/>
      <c r="F8" s="8"/>
    </row>
  </sheetData>
  <mergeCells count="1">
    <mergeCell ref="B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24FAE-007C-474F-8432-FA016CF65CB4}">
  <dimension ref="B2:J17"/>
  <sheetViews>
    <sheetView tabSelected="1" workbookViewId="0">
      <selection activeCell="I12" sqref="I12"/>
    </sheetView>
  </sheetViews>
  <sheetFormatPr baseColWidth="10" defaultRowHeight="14.5" x14ac:dyDescent="0.35"/>
  <cols>
    <col min="1" max="1" width="2.81640625" customWidth="1"/>
    <col min="2" max="2" width="16.54296875" customWidth="1"/>
    <col min="3" max="3" width="13.90625" customWidth="1"/>
    <col min="4" max="4" width="29.453125" style="33" customWidth="1"/>
    <col min="5" max="6" width="16.08984375" style="1" customWidth="1"/>
    <col min="7" max="7" width="16.08984375" customWidth="1"/>
    <col min="8" max="8" width="16.08984375" style="1" customWidth="1"/>
  </cols>
  <sheetData>
    <row r="2" spans="2:10" ht="18" x14ac:dyDescent="0.35">
      <c r="B2" s="38" t="s">
        <v>134</v>
      </c>
      <c r="C2" s="38"/>
      <c r="D2" s="38"/>
      <c r="E2" s="38"/>
      <c r="F2" s="38"/>
      <c r="G2" s="38"/>
      <c r="H2" s="38"/>
    </row>
    <row r="3" spans="2:10" ht="28" customHeight="1" x14ac:dyDescent="0.35">
      <c r="B3" s="29" t="s">
        <v>126</v>
      </c>
      <c r="C3" s="30" t="s">
        <v>121</v>
      </c>
      <c r="D3" s="31" t="s">
        <v>85</v>
      </c>
      <c r="E3" s="29" t="s">
        <v>121</v>
      </c>
      <c r="F3" s="29" t="s">
        <v>128</v>
      </c>
      <c r="G3" s="29" t="s">
        <v>120</v>
      </c>
      <c r="H3" s="29" t="s">
        <v>135</v>
      </c>
    </row>
    <row r="4" spans="2:10" ht="15.5" customHeight="1" x14ac:dyDescent="0.35">
      <c r="B4" s="6" t="s">
        <v>132</v>
      </c>
      <c r="C4" s="8">
        <v>4000</v>
      </c>
      <c r="D4" s="34" t="s">
        <v>127</v>
      </c>
      <c r="E4" s="7">
        <v>2000</v>
      </c>
      <c r="F4" s="7">
        <f>E4</f>
        <v>2000</v>
      </c>
      <c r="G4" s="9" t="s">
        <v>114</v>
      </c>
      <c r="H4" s="7">
        <f>C4-E4</f>
        <v>2000</v>
      </c>
      <c r="I4" s="36"/>
      <c r="J4" s="36"/>
    </row>
    <row r="5" spans="2:10" x14ac:dyDescent="0.35">
      <c r="B5" s="6"/>
      <c r="C5" s="7"/>
      <c r="D5" s="34" t="s">
        <v>124</v>
      </c>
      <c r="E5" s="7">
        <v>600</v>
      </c>
      <c r="F5" s="7">
        <f>E5+F4</f>
        <v>2600</v>
      </c>
      <c r="G5" s="9" t="s">
        <v>114</v>
      </c>
      <c r="H5" s="7">
        <f>H4-E5</f>
        <v>1400</v>
      </c>
      <c r="I5" s="36"/>
      <c r="J5" s="36"/>
    </row>
    <row r="6" spans="2:10" x14ac:dyDescent="0.35">
      <c r="B6" s="6"/>
      <c r="C6" s="7"/>
      <c r="D6" s="34" t="s">
        <v>129</v>
      </c>
      <c r="E6" s="7">
        <v>160</v>
      </c>
      <c r="F6" s="7">
        <f t="shared" ref="F6:F7" si="0">E6+F5</f>
        <v>2760</v>
      </c>
      <c r="G6" s="9" t="s">
        <v>114</v>
      </c>
      <c r="H6" s="7">
        <f t="shared" ref="H6:H9" si="1">H5-E6</f>
        <v>1240</v>
      </c>
      <c r="I6" s="36"/>
      <c r="J6" s="36"/>
    </row>
    <row r="7" spans="2:10" x14ac:dyDescent="0.35">
      <c r="B7" s="6"/>
      <c r="C7" s="6"/>
      <c r="D7" s="35" t="s">
        <v>130</v>
      </c>
      <c r="E7" s="7">
        <v>500</v>
      </c>
      <c r="F7" s="7">
        <f t="shared" si="0"/>
        <v>3260</v>
      </c>
      <c r="G7" s="9" t="s">
        <v>114</v>
      </c>
      <c r="H7" s="7">
        <f t="shared" si="1"/>
        <v>740</v>
      </c>
      <c r="I7" s="37"/>
      <c r="J7" s="37"/>
    </row>
    <row r="8" spans="2:10" x14ac:dyDescent="0.35">
      <c r="B8" s="6"/>
      <c r="C8" s="6"/>
      <c r="D8" s="35" t="s">
        <v>131</v>
      </c>
      <c r="E8" s="7">
        <v>125</v>
      </c>
      <c r="F8" s="7">
        <f>E8+F7</f>
        <v>3385</v>
      </c>
      <c r="G8" s="9" t="s">
        <v>114</v>
      </c>
      <c r="H8" s="7">
        <f t="shared" si="1"/>
        <v>615</v>
      </c>
      <c r="I8" s="37"/>
      <c r="J8" s="37"/>
    </row>
    <row r="9" spans="2:10" x14ac:dyDescent="0.35">
      <c r="B9" s="6"/>
      <c r="C9" s="6"/>
      <c r="D9" s="32" t="s">
        <v>32</v>
      </c>
      <c r="E9" s="7">
        <v>70</v>
      </c>
      <c r="F9" s="7">
        <f t="shared" ref="F9:F10" si="2">E9+F8</f>
        <v>3455</v>
      </c>
      <c r="G9" s="9" t="s">
        <v>114</v>
      </c>
      <c r="H9" s="7">
        <f t="shared" si="1"/>
        <v>545</v>
      </c>
      <c r="I9" s="37"/>
      <c r="J9" s="37"/>
    </row>
    <row r="10" spans="2:10" x14ac:dyDescent="0.35">
      <c r="B10" s="6"/>
      <c r="C10" s="6"/>
      <c r="D10" s="32" t="s">
        <v>133</v>
      </c>
      <c r="E10" s="7">
        <v>200</v>
      </c>
      <c r="F10" s="7">
        <f t="shared" ref="F10" si="3">E10+F9</f>
        <v>3655</v>
      </c>
      <c r="G10" s="9" t="s">
        <v>114</v>
      </c>
      <c r="H10" s="7">
        <f>H9-E10</f>
        <v>345</v>
      </c>
    </row>
    <row r="11" spans="2:10" x14ac:dyDescent="0.35">
      <c r="B11" s="6"/>
      <c r="C11" s="6"/>
      <c r="D11" s="32"/>
      <c r="E11" s="6"/>
      <c r="F11" s="7"/>
      <c r="G11" s="6"/>
      <c r="H11" s="6"/>
    </row>
    <row r="12" spans="2:10" x14ac:dyDescent="0.35">
      <c r="B12" s="6"/>
      <c r="C12" s="6"/>
      <c r="D12" s="32"/>
      <c r="E12" s="6"/>
      <c r="F12" s="7"/>
      <c r="G12" s="6"/>
      <c r="H12" s="6"/>
    </row>
    <row r="13" spans="2:10" x14ac:dyDescent="0.35">
      <c r="B13" s="6"/>
      <c r="C13" s="6"/>
      <c r="D13" s="32"/>
      <c r="E13" s="6"/>
      <c r="F13" s="7"/>
      <c r="G13" s="6"/>
      <c r="H13" s="6"/>
    </row>
    <row r="14" spans="2:10" x14ac:dyDescent="0.35">
      <c r="B14" s="6"/>
      <c r="C14" s="6"/>
      <c r="D14" s="32"/>
      <c r="E14" s="6"/>
      <c r="F14" s="7"/>
      <c r="G14" s="6"/>
      <c r="H14" s="6"/>
    </row>
    <row r="15" spans="2:10" x14ac:dyDescent="0.35">
      <c r="B15" s="6"/>
      <c r="C15" s="6"/>
      <c r="D15" s="32"/>
      <c r="E15" s="6"/>
      <c r="F15" s="7"/>
      <c r="G15" s="6"/>
      <c r="H15" s="6"/>
    </row>
    <row r="16" spans="2:10" x14ac:dyDescent="0.35">
      <c r="B16" s="6"/>
      <c r="C16" s="6"/>
      <c r="D16" s="32"/>
      <c r="E16" s="6"/>
      <c r="F16" s="7"/>
      <c r="G16" s="6"/>
      <c r="H16" s="6"/>
    </row>
    <row r="17" spans="2:8" x14ac:dyDescent="0.35">
      <c r="B17" s="6"/>
      <c r="C17" s="6"/>
      <c r="D17" s="32"/>
      <c r="E17" s="6"/>
      <c r="F17" s="7"/>
      <c r="G17" s="6"/>
      <c r="H17" s="6"/>
    </row>
  </sheetData>
  <mergeCells count="1">
    <mergeCell ref="B2:H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Septie2025</vt:lpstr>
      <vt:lpstr>Octub2025</vt:lpstr>
      <vt:lpstr>Noviem2025</vt:lpstr>
      <vt:lpstr>Diciem2025</vt:lpstr>
      <vt:lpstr>Ene2026</vt:lpstr>
      <vt:lpstr>Presupuesto 2026</vt:lpstr>
      <vt:lpstr>PresupV1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2026-01-02T19:31:04Z</dcterms:modified>
</cp:coreProperties>
</file>