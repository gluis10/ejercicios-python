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enry Luis\Documents\py\"/>
    </mc:Choice>
  </mc:AlternateContent>
  <xr:revisionPtr revIDLastSave="0" documentId="13_ncr:1_{594D3665-F54F-41B3-B7DA-A70DDEC2504E}" xr6:coauthVersionLast="47" xr6:coauthVersionMax="47" xr10:uidLastSave="{00000000-0000-0000-0000-000000000000}"/>
  <bookViews>
    <workbookView xWindow="-110" yWindow="-110" windowWidth="19420" windowHeight="10300" firstSheet="1" activeTab="5" xr2:uid="{00000000-000D-0000-FFFF-FFFF00000000}"/>
  </bookViews>
  <sheets>
    <sheet name="Septie2025" sheetId="1" r:id="rId1"/>
    <sheet name="Octub2025" sheetId="3" r:id="rId2"/>
    <sheet name="Noviem2025" sheetId="4" r:id="rId3"/>
    <sheet name="Diciem2025" sheetId="7" r:id="rId4"/>
    <sheet name="Ene2026" sheetId="8" r:id="rId5"/>
    <sheet name="Presupuesto 2026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9" l="1"/>
  <c r="D6" i="9"/>
  <c r="D5" i="9"/>
  <c r="F20" i="8"/>
  <c r="E4" i="8"/>
  <c r="I4" i="8" s="1"/>
  <c r="I5" i="8" s="1"/>
  <c r="I6" i="8" s="1"/>
  <c r="D4" i="7"/>
  <c r="E31" i="7"/>
  <c r="E36" i="4"/>
  <c r="D4" i="4"/>
  <c r="E40" i="3"/>
  <c r="D4" i="3"/>
  <c r="E18" i="1"/>
  <c r="D4" i="1"/>
  <c r="H31" i="7" l="1"/>
  <c r="D32" i="7" s="1"/>
  <c r="I20" i="8"/>
  <c r="E21" i="8" s="1"/>
  <c r="H4" i="7"/>
  <c r="H5" i="7" s="1"/>
  <c r="H6" i="7" s="1"/>
  <c r="H7" i="7" s="1"/>
  <c r="H8" i="7" s="1"/>
  <c r="H9" i="7" s="1"/>
  <c r="H10" i="7" s="1"/>
  <c r="H11" i="7" s="1"/>
  <c r="H12" i="7" s="1"/>
  <c r="H13" i="7" s="1"/>
  <c r="H14" i="7" s="1"/>
  <c r="H15" i="7" s="1"/>
  <c r="H16" i="7" s="1"/>
  <c r="H36" i="4"/>
  <c r="D37" i="4" s="1"/>
  <c r="H40" i="3"/>
  <c r="D41" i="3" s="1"/>
  <c r="H18" i="1"/>
  <c r="D19" i="1" s="1"/>
  <c r="H17" i="7" l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</calcChain>
</file>

<file path=xl/sharedStrings.xml><?xml version="1.0" encoding="utf-8"?>
<sst xmlns="http://schemas.openxmlformats.org/spreadsheetml/2006/main" count="202" uniqueCount="126">
  <si>
    <t>CONTROL DE SUELDOS</t>
  </si>
  <si>
    <t>INICIAL</t>
  </si>
  <si>
    <t>GASTOS</t>
  </si>
  <si>
    <t>EN QUE</t>
  </si>
  <si>
    <t>FECHA</t>
  </si>
  <si>
    <t>Retiro caja Super</t>
  </si>
  <si>
    <t>ACTIVOS</t>
  </si>
  <si>
    <t>SALDO FINAL</t>
  </si>
  <si>
    <t>Ultimo pago reparación moto</t>
  </si>
  <si>
    <t>Préstamo a Wuelmer</t>
  </si>
  <si>
    <t>Comprobación:</t>
  </si>
  <si>
    <t>Calzone Dóminos</t>
  </si>
  <si>
    <t>Gasolina La Com.</t>
  </si>
  <si>
    <t xml:space="preserve">Medicamentos </t>
  </si>
  <si>
    <t>Retiro caja EL (Comidad y otros)</t>
  </si>
  <si>
    <t>En cuenta de Ahorro</t>
  </si>
  <si>
    <t>POR</t>
  </si>
  <si>
    <t>Sueldo quincenal</t>
  </si>
  <si>
    <t>Existente</t>
  </si>
  <si>
    <t>Tortillas pendientes</t>
  </si>
  <si>
    <t>Curso Network Excentials Intecap</t>
  </si>
  <si>
    <t xml:space="preserve">Gastos </t>
  </si>
  <si>
    <t>Retiro Rabinal y Pasaje</t>
  </si>
  <si>
    <t>Gasolina Moto</t>
  </si>
  <si>
    <t>Flores</t>
  </si>
  <si>
    <t>No se que</t>
  </si>
  <si>
    <t>00000000000000000000000000000000000000000000000000000000000000000000000000000000000000000000000000000000000000000000000000000000000000000000000000000000000000000000000000000000000000000000.00000000…..........................................................................................................................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33...................................................................................................................................................................3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</si>
  <si>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Tortillas</t>
  </si>
  <si>
    <t>Verduras</t>
  </si>
  <si>
    <t>Gasolina</t>
  </si>
  <si>
    <t>Super (galletas, pasta)</t>
  </si>
  <si>
    <t>Gastos</t>
  </si>
  <si>
    <t>Netflix</t>
  </si>
  <si>
    <t>Cemaco (galletas y coca)</t>
  </si>
  <si>
    <t>Piezas Pollo</t>
  </si>
  <si>
    <t>Amburguesa Macdonals</t>
  </si>
  <si>
    <t>Super octubre</t>
  </si>
  <si>
    <t>Gastos personales</t>
  </si>
  <si>
    <t>Playera Naruto Uzumaky</t>
  </si>
  <si>
    <t>Para tortillas pendientes</t>
  </si>
  <si>
    <t>Pago por internet en tigo</t>
  </si>
  <si>
    <t>Llanta para moto</t>
  </si>
  <si>
    <t>Regalo Yéremi</t>
  </si>
  <si>
    <t>Pizza</t>
  </si>
  <si>
    <t>Deuda con Freddy</t>
  </si>
  <si>
    <t>2da-15na septiembre</t>
  </si>
  <si>
    <t>1ra-15na octubre</t>
  </si>
  <si>
    <t>Super</t>
  </si>
  <si>
    <t>Gasolina gastos</t>
  </si>
  <si>
    <t>Gasolina viaje a casa</t>
  </si>
  <si>
    <t>SALDO INICIAL</t>
  </si>
  <si>
    <t>Don Calzone</t>
  </si>
  <si>
    <t xml:space="preserve">Gasolina </t>
  </si>
  <si>
    <t xml:space="preserve"> </t>
  </si>
  <si>
    <t>Desayuno</t>
  </si>
  <si>
    <t>Crea nivea</t>
  </si>
  <si>
    <t>Uso de tarjeta</t>
  </si>
  <si>
    <t>No se sabe</t>
  </si>
  <si>
    <t>2da-15na octubre</t>
  </si>
  <si>
    <t>1ra-15na noviembre</t>
  </si>
  <si>
    <t>Pago moto Suzuki</t>
  </si>
  <si>
    <t>Reparación Moto Suzuki</t>
  </si>
  <si>
    <t>Crema Nivea</t>
  </si>
  <si>
    <t>Pedido en Temu</t>
  </si>
  <si>
    <t>Burger King desayuno</t>
  </si>
  <si>
    <t>Pendiente en que</t>
  </si>
  <si>
    <t>Gel, Bombilla, Galleta - Super</t>
  </si>
  <si>
    <t>Gastos personales (45 Verduras)</t>
  </si>
  <si>
    <t xml:space="preserve">Gastos personales </t>
  </si>
  <si>
    <t>Gasolina (Viaje a Casa)</t>
  </si>
  <si>
    <t>Gasolina de la semana</t>
  </si>
  <si>
    <t>No recuerdo</t>
  </si>
  <si>
    <t xml:space="preserve">Último pago moto Suzuky </t>
  </si>
  <si>
    <t>18/11/205</t>
  </si>
  <si>
    <t>Pago de servicio tigo</t>
  </si>
  <si>
    <t>No se sabe :c</t>
  </si>
  <si>
    <t>(Q200 tortillas, 200 gastos)</t>
  </si>
  <si>
    <t>ND nota de débito normal</t>
  </si>
  <si>
    <t>Almuerzo</t>
  </si>
  <si>
    <t xml:space="preserve">Gasolina a Casa </t>
  </si>
  <si>
    <t>31/11/2025</t>
  </si>
  <si>
    <t>Serial Super</t>
  </si>
  <si>
    <t>2da-15na noviembre</t>
  </si>
  <si>
    <t>Aguinaldo P1</t>
  </si>
  <si>
    <t>Aguinaldo P2</t>
  </si>
  <si>
    <t>DÉBITOS</t>
  </si>
  <si>
    <t>DESCRIPCIÓN DE DÉBITO</t>
  </si>
  <si>
    <t>DESCRIPCIÓN DE CRÉDITO</t>
  </si>
  <si>
    <t>Grua moto</t>
  </si>
  <si>
    <t>Aporte a Retiro</t>
  </si>
  <si>
    <t>Retiro, gastos personales</t>
  </si>
  <si>
    <t>Timon, Pastillas, Kit Kunas</t>
  </si>
  <si>
    <t>Porta Manecillas (Closh)</t>
  </si>
  <si>
    <t>Gasolina semanal</t>
  </si>
  <si>
    <t>1ra-15na diciembre</t>
  </si>
  <si>
    <t>Gasolina de trabajo</t>
  </si>
  <si>
    <t>Uber al trabajo</t>
  </si>
  <si>
    <t>Barras para moto</t>
  </si>
  <si>
    <t>Inversiones Juj GT - ….</t>
  </si>
  <si>
    <t>Comercializa Dora E Hid GT -…</t>
  </si>
  <si>
    <t>Pendiente</t>
  </si>
  <si>
    <t>Lodera de moto</t>
  </si>
  <si>
    <t>Poste de moto</t>
  </si>
  <si>
    <t>Base de poste de moto</t>
  </si>
  <si>
    <t>Gatos para viajar a casa</t>
  </si>
  <si>
    <t>Gasolina para trabajar</t>
  </si>
  <si>
    <t xml:space="preserve">Gasolina para viajar a casa </t>
  </si>
  <si>
    <t>Gasolina para regresar a la capital</t>
  </si>
  <si>
    <t>Amburguesa almuerzo</t>
  </si>
  <si>
    <t>Retrovisor derecho</t>
  </si>
  <si>
    <t>En cuenta de (Ahorro mas Monetaria)</t>
  </si>
  <si>
    <t xml:space="preserve">Enderazado y armado de Moto </t>
  </si>
  <si>
    <t>Base y barra de Moto (Repuesto)</t>
  </si>
  <si>
    <t>2da-15cena diciembre 2025</t>
  </si>
  <si>
    <t>pendiente</t>
  </si>
  <si>
    <t>1ra-15cena enero 2026</t>
  </si>
  <si>
    <t>Totol gastado</t>
  </si>
  <si>
    <t>Extra Random</t>
  </si>
  <si>
    <t>FECHA DE ENVÍO</t>
  </si>
  <si>
    <t>Matrícula de Universidad</t>
  </si>
  <si>
    <t>FECHA DE PAGO</t>
  </si>
  <si>
    <t>CANTIDAD</t>
  </si>
  <si>
    <t>Mensualidad - Enero</t>
  </si>
  <si>
    <t>SUMATORIA</t>
  </si>
  <si>
    <t>Renta de casa</t>
  </si>
  <si>
    <t>Total 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</si>
</sst>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Q&quot;#,##0;[Red]\-&quot;Q&quot;#,##0"/>
    <numFmt numFmtId="164" formatCode="&quot;Q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0" fillId="0" borderId="0" xfId="0" applyNumberFormat="1"/>
    <xf numFmtId="164" fontId="2" fillId="0" borderId="0" xfId="0" applyNumberFormat="1" applyFont="1" applyAlignment="1">
      <alignment vertical="center"/>
    </xf>
    <xf numFmtId="164" fontId="1" fillId="0" borderId="0" xfId="0" applyNumberFormat="1" applyFont="1"/>
    <xf numFmtId="164" fontId="3" fillId="0" borderId="0" xfId="0" applyNumberFormat="1" applyFont="1" applyAlignment="1">
      <alignment wrapText="1"/>
    </xf>
    <xf numFmtId="164" fontId="4" fillId="0" borderId="0" xfId="0" applyNumberFormat="1" applyFont="1"/>
    <xf numFmtId="164" fontId="4" fillId="0" borderId="1" xfId="0" applyNumberFormat="1" applyFont="1" applyBorder="1"/>
    <xf numFmtId="164" fontId="4" fillId="0" borderId="1" xfId="0" applyNumberFormat="1" applyFont="1" applyBorder="1" applyAlignment="1">
      <alignment horizontal="right" wrapText="1"/>
    </xf>
    <xf numFmtId="164" fontId="4" fillId="0" borderId="1" xfId="0" applyNumberFormat="1" applyFont="1" applyBorder="1" applyAlignment="1">
      <alignment wrapText="1"/>
    </xf>
    <xf numFmtId="14" fontId="4" fillId="0" borderId="1" xfId="0" applyNumberFormat="1" applyFont="1" applyBorder="1" applyAlignment="1">
      <alignment horizontal="right" wrapText="1"/>
    </xf>
    <xf numFmtId="14" fontId="4" fillId="0" borderId="1" xfId="0" applyNumberFormat="1" applyFont="1" applyBorder="1" applyAlignment="1">
      <alignment wrapText="1"/>
    </xf>
    <xf numFmtId="164" fontId="1" fillId="2" borderId="1" xfId="0" applyNumberFormat="1" applyFont="1" applyFill="1" applyBorder="1"/>
    <xf numFmtId="164" fontId="3" fillId="2" borderId="1" xfId="0" applyNumberFormat="1" applyFont="1" applyFill="1" applyBorder="1" applyAlignment="1">
      <alignment wrapText="1"/>
    </xf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right" wrapText="1"/>
    </xf>
    <xf numFmtId="6" fontId="4" fillId="0" borderId="1" xfId="0" applyNumberFormat="1" applyFont="1" applyBorder="1"/>
    <xf numFmtId="164" fontId="4" fillId="0" borderId="2" xfId="0" applyNumberFormat="1" applyFont="1" applyBorder="1" applyAlignment="1">
      <alignment wrapText="1"/>
    </xf>
    <xf numFmtId="0" fontId="4" fillId="0" borderId="1" xfId="0" applyFont="1" applyBorder="1"/>
    <xf numFmtId="164" fontId="5" fillId="0" borderId="0" xfId="0" applyNumberFormat="1" applyFont="1"/>
    <xf numFmtId="164" fontId="4" fillId="0" borderId="2" xfId="0" applyNumberFormat="1" applyFont="1" applyBorder="1"/>
    <xf numFmtId="164" fontId="4" fillId="0" borderId="3" xfId="0" applyNumberFormat="1" applyFont="1" applyBorder="1"/>
    <xf numFmtId="164" fontId="4" fillId="0" borderId="4" xfId="0" applyNumberFormat="1" applyFont="1" applyBorder="1"/>
    <xf numFmtId="164" fontId="2" fillId="3" borderId="1" xfId="0" applyNumberFormat="1" applyFont="1" applyFill="1" applyBorder="1"/>
    <xf numFmtId="164" fontId="4" fillId="3" borderId="1" xfId="0" applyNumberFormat="1" applyFont="1" applyFill="1" applyBorder="1"/>
    <xf numFmtId="164" fontId="2" fillId="0" borderId="1" xfId="0" applyNumberFormat="1" applyFont="1" applyBorder="1" applyAlignment="1">
      <alignment horizontal="center"/>
    </xf>
    <xf numFmtId="164" fontId="4" fillId="3" borderId="1" xfId="0" applyNumberFormat="1" applyFont="1" applyFill="1" applyBorder="1"/>
    <xf numFmtId="164" fontId="2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Fill="1"/>
    <xf numFmtId="0" fontId="0" fillId="0" borderId="1" xfId="0" applyBorder="1"/>
    <xf numFmtId="164" fontId="1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92"/>
  <sheetViews>
    <sheetView workbookViewId="0">
      <selection activeCell="E23" sqref="E23"/>
    </sheetView>
  </sheetViews>
  <sheetFormatPr baseColWidth="10" defaultColWidth="8.7265625" defaultRowHeight="14.5" x14ac:dyDescent="0.35"/>
  <cols>
    <col min="1" max="1" width="3.1796875" customWidth="1"/>
    <col min="2" max="2" width="14.1796875" customWidth="1"/>
    <col min="3" max="3" width="19.54296875" customWidth="1"/>
    <col min="4" max="4" width="13.26953125" customWidth="1"/>
    <col min="5" max="5" width="18.1796875" customWidth="1"/>
    <col min="6" max="6" width="34.81640625" customWidth="1"/>
    <col min="7" max="7" width="11.08984375" customWidth="1"/>
    <col min="8" max="8" width="13.26953125" customWidth="1"/>
  </cols>
  <sheetData>
    <row r="2" spans="2:24" x14ac:dyDescent="0.35">
      <c r="B2" s="2" t="s">
        <v>0</v>
      </c>
      <c r="C2" s="2"/>
      <c r="D2" s="4"/>
      <c r="E2" s="4"/>
      <c r="F2" s="4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2:24" x14ac:dyDescent="0.35">
      <c r="B3" s="11" t="s">
        <v>6</v>
      </c>
      <c r="C3" s="11" t="s">
        <v>16</v>
      </c>
      <c r="D3" s="12" t="s">
        <v>1</v>
      </c>
      <c r="E3" s="12" t="s">
        <v>2</v>
      </c>
      <c r="F3" s="12" t="s">
        <v>3</v>
      </c>
      <c r="G3" s="12" t="s">
        <v>4</v>
      </c>
      <c r="H3" s="11" t="s">
        <v>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2:24" ht="14.5" customHeight="1" x14ac:dyDescent="0.35">
      <c r="B4" s="13">
        <v>2110</v>
      </c>
      <c r="C4" s="6" t="s">
        <v>17</v>
      </c>
      <c r="D4" s="14">
        <f>SUM(B4:B5)</f>
        <v>2395</v>
      </c>
      <c r="E4" s="8">
        <v>1000</v>
      </c>
      <c r="F4" s="8" t="s">
        <v>8</v>
      </c>
      <c r="G4" s="9">
        <v>45913</v>
      </c>
      <c r="H4" s="6"/>
      <c r="I4" s="5"/>
      <c r="J4" s="5"/>
      <c r="K4" s="5"/>
      <c r="L4" s="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2:24" ht="14.5" customHeight="1" x14ac:dyDescent="0.35">
      <c r="B5" s="13">
        <v>285</v>
      </c>
      <c r="C5" s="6" t="s">
        <v>18</v>
      </c>
      <c r="D5" s="8"/>
      <c r="E5" s="7">
        <v>100</v>
      </c>
      <c r="F5" s="8" t="s">
        <v>9</v>
      </c>
      <c r="G5" s="9">
        <v>45913</v>
      </c>
      <c r="H5" s="6"/>
      <c r="I5" s="5"/>
      <c r="J5" s="5"/>
      <c r="K5" s="5"/>
      <c r="L5" s="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2:24" ht="14.5" customHeight="1" x14ac:dyDescent="0.35">
      <c r="B6" s="6"/>
      <c r="C6" s="6"/>
      <c r="D6" s="8"/>
      <c r="E6" s="7">
        <v>40</v>
      </c>
      <c r="F6" s="8" t="s">
        <v>12</v>
      </c>
      <c r="G6" s="9">
        <v>45914</v>
      </c>
      <c r="H6" s="6"/>
      <c r="I6" s="5"/>
      <c r="J6" s="5"/>
      <c r="K6" s="5"/>
      <c r="L6" s="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2:24" ht="14.5" customHeight="1" x14ac:dyDescent="0.35">
      <c r="B7" s="6"/>
      <c r="C7" s="6"/>
      <c r="D7" s="8"/>
      <c r="E7" s="7">
        <v>60</v>
      </c>
      <c r="F7" s="8" t="s">
        <v>13</v>
      </c>
      <c r="G7" s="9">
        <v>45914</v>
      </c>
      <c r="H7" s="6"/>
      <c r="I7" s="5"/>
      <c r="J7" s="5"/>
      <c r="K7" s="5"/>
      <c r="L7" s="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2:24" ht="14.5" customHeight="1" x14ac:dyDescent="0.35">
      <c r="B8" s="6"/>
      <c r="C8" s="6"/>
      <c r="D8" s="8"/>
      <c r="E8" s="7">
        <v>100</v>
      </c>
      <c r="F8" s="8" t="s">
        <v>14</v>
      </c>
      <c r="G8" s="9">
        <v>45914</v>
      </c>
      <c r="H8" s="6"/>
      <c r="I8" s="5"/>
      <c r="J8" s="5"/>
      <c r="K8" s="5"/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2:24" ht="14.5" customHeight="1" x14ac:dyDescent="0.35">
      <c r="B9" s="6"/>
      <c r="C9" s="6"/>
      <c r="D9" s="8"/>
      <c r="E9" s="7">
        <v>20</v>
      </c>
      <c r="F9" s="8" t="s">
        <v>11</v>
      </c>
      <c r="G9" s="9">
        <v>45914</v>
      </c>
      <c r="H9" s="6"/>
      <c r="I9" s="5"/>
      <c r="J9" s="5"/>
      <c r="K9" s="5"/>
      <c r="L9" s="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2:24" ht="14.5" customHeight="1" x14ac:dyDescent="0.35">
      <c r="B10" s="6"/>
      <c r="C10" s="6"/>
      <c r="D10" s="8"/>
      <c r="E10" s="7">
        <v>100</v>
      </c>
      <c r="F10" s="8" t="s">
        <v>5</v>
      </c>
      <c r="G10" s="9">
        <v>45917</v>
      </c>
      <c r="H10" s="6"/>
      <c r="I10" s="5"/>
      <c r="J10" s="5"/>
      <c r="K10" s="5"/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2:24" x14ac:dyDescent="0.35">
      <c r="B11" s="6"/>
      <c r="C11" s="6"/>
      <c r="D11" s="8"/>
      <c r="E11" s="8">
        <v>100</v>
      </c>
      <c r="F11" s="8" t="s">
        <v>19</v>
      </c>
      <c r="G11" s="10">
        <v>45919</v>
      </c>
      <c r="H11" s="6"/>
      <c r="I11" s="5"/>
      <c r="J11" s="5">
        <v>0</v>
      </c>
      <c r="K11" s="5" t="s">
        <v>26</v>
      </c>
      <c r="L11" s="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2:24" x14ac:dyDescent="0.35">
      <c r="B12" s="6"/>
      <c r="C12" s="6"/>
      <c r="D12" s="8"/>
      <c r="E12" s="8">
        <v>100</v>
      </c>
      <c r="F12" s="8" t="s">
        <v>20</v>
      </c>
      <c r="G12" s="10">
        <v>45919</v>
      </c>
      <c r="H12" s="6"/>
      <c r="I12" s="5"/>
      <c r="J12" s="5"/>
      <c r="K12" s="5"/>
      <c r="L12" s="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2:24" x14ac:dyDescent="0.35">
      <c r="B13" s="6"/>
      <c r="C13" s="6"/>
      <c r="D13" s="8"/>
      <c r="E13" s="15">
        <v>300</v>
      </c>
      <c r="F13" s="8" t="s">
        <v>21</v>
      </c>
      <c r="G13" s="8"/>
      <c r="H13" s="6"/>
      <c r="I13" s="5"/>
      <c r="J13" s="5"/>
      <c r="K13" s="5"/>
      <c r="L13" s="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2:24" x14ac:dyDescent="0.35">
      <c r="B14" s="6"/>
      <c r="C14" s="6"/>
      <c r="D14" s="6"/>
      <c r="E14" s="6">
        <v>90</v>
      </c>
      <c r="F14" s="6" t="s">
        <v>22</v>
      </c>
      <c r="G14" s="6"/>
      <c r="H14" s="6"/>
      <c r="I14" s="5"/>
      <c r="J14" s="5"/>
      <c r="K14" s="5"/>
      <c r="L14" s="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2:24" x14ac:dyDescent="0.35">
      <c r="B15" s="6"/>
      <c r="C15" s="6"/>
      <c r="D15" s="6"/>
      <c r="E15" s="6">
        <v>80</v>
      </c>
      <c r="F15" s="6" t="s">
        <v>23</v>
      </c>
      <c r="G15" s="6"/>
      <c r="H15" s="6"/>
      <c r="I15" s="5"/>
      <c r="J15" s="5"/>
      <c r="K15" s="5"/>
      <c r="L15" s="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2:24" x14ac:dyDescent="0.35">
      <c r="B16" s="6"/>
      <c r="C16" s="6"/>
      <c r="D16" s="6"/>
      <c r="E16">
        <v>100</v>
      </c>
      <c r="F16" s="16" t="s">
        <v>24</v>
      </c>
      <c r="K16" s="5"/>
      <c r="L16" s="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2:24" x14ac:dyDescent="0.35">
      <c r="B17" s="6"/>
      <c r="C17" s="6"/>
      <c r="D17" s="6"/>
      <c r="E17" s="6">
        <v>55</v>
      </c>
      <c r="F17" s="6" t="s">
        <v>25</v>
      </c>
      <c r="G17" s="6"/>
      <c r="H17" s="6"/>
      <c r="I17" s="5"/>
      <c r="J17" s="5"/>
      <c r="K17" s="5"/>
      <c r="L17" s="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2:24" x14ac:dyDescent="0.35">
      <c r="B18" s="6"/>
      <c r="C18" s="6"/>
      <c r="D18" s="6"/>
      <c r="E18" s="14">
        <f>SUM(E4:E17)</f>
        <v>2245</v>
      </c>
      <c r="F18" s="6"/>
      <c r="G18" s="6"/>
      <c r="H18" s="13">
        <f>D4-E18</f>
        <v>150</v>
      </c>
      <c r="I18" s="5" t="s">
        <v>15</v>
      </c>
      <c r="J18" s="5"/>
      <c r="K18" s="5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2:24" x14ac:dyDescent="0.35">
      <c r="B19" s="6" t="s">
        <v>10</v>
      </c>
      <c r="C19" s="6"/>
      <c r="D19" s="13">
        <f>SUM(E18:H18)</f>
        <v>2395</v>
      </c>
      <c r="E19" s="6"/>
      <c r="F19" s="6"/>
      <c r="G19" s="6"/>
      <c r="H19" s="6"/>
      <c r="I19" s="5"/>
      <c r="J19" s="5"/>
      <c r="K19" s="5"/>
      <c r="L19" s="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2:24" x14ac:dyDescent="0.3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2:24" x14ac:dyDescent="0.3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2:24" x14ac:dyDescent="0.3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2:24" x14ac:dyDescent="0.3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2:24" x14ac:dyDescent="0.3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2:24" x14ac:dyDescent="0.3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2:24" x14ac:dyDescent="0.3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2:24" x14ac:dyDescent="0.3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2:24" x14ac:dyDescent="0.3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2:24" x14ac:dyDescent="0.3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2:24" x14ac:dyDescent="0.3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2:24" x14ac:dyDescent="0.3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2:24" x14ac:dyDescent="0.3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2:24" x14ac:dyDescent="0.3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2:24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2:24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2:24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2:24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2:24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2:24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2:24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2:24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2:24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2:24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2:24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2:24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2:24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2:24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2:24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2:24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2:24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2:24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2:24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2:24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2:24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2:24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2:24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2:24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2:24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2:24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2:24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2:24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2:24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2:24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2:24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2:24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2:24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2:24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2:24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2:24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2:24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2:24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2:24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2:24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2:24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2:24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2:24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2:24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2:24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2:24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2:24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2:24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2:24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2:24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2:24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2:24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2:24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2:24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2:24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2:24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2:24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2:24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2:24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8EBF9-3FF0-4226-BA71-7DF463DFD99B}">
  <dimension ref="B2:X114"/>
  <sheetViews>
    <sheetView workbookViewId="0">
      <selection activeCell="E13" sqref="E13"/>
    </sheetView>
  </sheetViews>
  <sheetFormatPr baseColWidth="10" defaultColWidth="8.7265625" defaultRowHeight="14.5" x14ac:dyDescent="0.35"/>
  <cols>
    <col min="1" max="1" width="3.1796875" customWidth="1"/>
    <col min="2" max="2" width="14.1796875" customWidth="1"/>
    <col min="3" max="3" width="19.54296875" customWidth="1"/>
    <col min="4" max="4" width="13.7265625" customWidth="1"/>
    <col min="5" max="5" width="18.1796875" customWidth="1"/>
    <col min="6" max="6" width="34.81640625" customWidth="1"/>
    <col min="7" max="7" width="11.08984375" customWidth="1"/>
    <col min="8" max="8" width="13.26953125" customWidth="1"/>
    <col min="10" max="10" width="11.90625" customWidth="1"/>
  </cols>
  <sheetData>
    <row r="2" spans="2:24" x14ac:dyDescent="0.35">
      <c r="B2" s="2" t="s">
        <v>0</v>
      </c>
      <c r="C2" s="2"/>
      <c r="D2" s="4"/>
      <c r="E2" s="4"/>
      <c r="F2" s="4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2:24" x14ac:dyDescent="0.35">
      <c r="B3" s="11" t="s">
        <v>6</v>
      </c>
      <c r="C3" s="11" t="s">
        <v>16</v>
      </c>
      <c r="D3" s="12" t="s">
        <v>50</v>
      </c>
      <c r="E3" s="12" t="s">
        <v>2</v>
      </c>
      <c r="F3" s="12" t="s">
        <v>3</v>
      </c>
      <c r="G3" s="12" t="s">
        <v>4</v>
      </c>
      <c r="H3" s="11" t="s">
        <v>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2:24" ht="14.5" customHeight="1" x14ac:dyDescent="0.35">
      <c r="B4" s="13">
        <v>2022.22</v>
      </c>
      <c r="C4" s="6" t="s">
        <v>45</v>
      </c>
      <c r="D4" s="14">
        <f>SUM(B4:B9)</f>
        <v>4282.22</v>
      </c>
      <c r="E4" s="8">
        <v>200</v>
      </c>
      <c r="F4" s="8" t="s">
        <v>27</v>
      </c>
      <c r="G4" s="9">
        <v>44839</v>
      </c>
      <c r="H4" s="6"/>
      <c r="I4" s="5"/>
      <c r="J4" s="5"/>
      <c r="K4" s="5"/>
      <c r="L4" s="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2:24" ht="14.5" customHeight="1" x14ac:dyDescent="0.35">
      <c r="B5" s="13">
        <v>150</v>
      </c>
      <c r="C5" s="6" t="s">
        <v>18</v>
      </c>
      <c r="D5" s="8"/>
      <c r="E5" s="7">
        <v>30</v>
      </c>
      <c r="F5" s="8" t="s">
        <v>28</v>
      </c>
      <c r="G5" s="9">
        <v>44839</v>
      </c>
      <c r="H5" s="6"/>
      <c r="I5" s="5"/>
      <c r="J5" s="5"/>
      <c r="K5" s="5"/>
      <c r="L5" s="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2:24" ht="14.5" customHeight="1" x14ac:dyDescent="0.35">
      <c r="B6" s="13">
        <v>2110</v>
      </c>
      <c r="C6" s="6" t="s">
        <v>46</v>
      </c>
      <c r="D6" s="8"/>
      <c r="E6" s="7">
        <v>50</v>
      </c>
      <c r="F6" s="8" t="s">
        <v>29</v>
      </c>
      <c r="G6" s="9">
        <v>44839</v>
      </c>
      <c r="H6" s="6"/>
      <c r="I6" s="5"/>
      <c r="J6" s="5"/>
      <c r="K6" s="5"/>
      <c r="L6" s="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2:24" ht="14.5" customHeight="1" x14ac:dyDescent="0.35">
      <c r="B7" s="6"/>
      <c r="C7" s="6"/>
      <c r="D7" s="8"/>
      <c r="E7" s="7">
        <v>20</v>
      </c>
      <c r="F7" s="8" t="s">
        <v>33</v>
      </c>
      <c r="G7" s="9">
        <v>44839</v>
      </c>
      <c r="H7" s="6"/>
      <c r="I7" s="5"/>
      <c r="J7" s="5"/>
      <c r="K7" s="18"/>
      <c r="L7" s="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2:24" ht="14.5" customHeight="1" x14ac:dyDescent="0.35">
      <c r="B8" s="6"/>
      <c r="C8" s="6"/>
      <c r="D8" s="8"/>
      <c r="E8" s="7">
        <v>20</v>
      </c>
      <c r="F8" s="8" t="s">
        <v>30</v>
      </c>
      <c r="G8" s="9">
        <v>44840</v>
      </c>
      <c r="H8" s="6"/>
      <c r="I8" s="5"/>
      <c r="J8" s="5"/>
      <c r="K8" s="5"/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2:24" ht="14.5" customHeight="1" x14ac:dyDescent="0.35">
      <c r="B9" s="6"/>
      <c r="C9" s="6"/>
      <c r="D9" s="8"/>
      <c r="E9" s="7">
        <v>250</v>
      </c>
      <c r="F9" s="8" t="s">
        <v>31</v>
      </c>
      <c r="G9" s="9">
        <v>44840</v>
      </c>
      <c r="H9" s="6"/>
      <c r="I9" s="5"/>
      <c r="J9" s="5"/>
      <c r="K9" s="5"/>
      <c r="L9" s="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2:24" ht="14.5" customHeight="1" x14ac:dyDescent="0.35">
      <c r="B10" s="6"/>
      <c r="C10" s="6"/>
      <c r="D10" s="8"/>
      <c r="E10" s="7">
        <v>70</v>
      </c>
      <c r="F10" s="8" t="s">
        <v>32</v>
      </c>
      <c r="G10" s="9">
        <v>44840</v>
      </c>
      <c r="H10" s="6"/>
      <c r="I10" s="5"/>
      <c r="J10" s="5"/>
      <c r="K10" s="5"/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2:24" ht="14.5" customHeight="1" x14ac:dyDescent="0.35">
      <c r="B11" s="6"/>
      <c r="C11" s="6"/>
      <c r="D11" s="8"/>
      <c r="E11" s="7">
        <v>30</v>
      </c>
      <c r="F11" s="8" t="s">
        <v>29</v>
      </c>
      <c r="G11" s="9">
        <v>44842</v>
      </c>
      <c r="H11" s="6"/>
      <c r="I11" s="5"/>
      <c r="J11" s="5"/>
      <c r="K11" s="5"/>
      <c r="L11" s="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2:24" ht="14.5" customHeight="1" x14ac:dyDescent="0.35">
      <c r="B12" s="6"/>
      <c r="C12" s="6"/>
      <c r="D12" s="8"/>
      <c r="E12" s="7">
        <v>50</v>
      </c>
      <c r="F12" s="6" t="s">
        <v>37</v>
      </c>
      <c r="G12" s="9">
        <v>44843</v>
      </c>
      <c r="H12" s="6"/>
      <c r="I12" s="5"/>
      <c r="J12" s="5"/>
      <c r="K12" s="5"/>
      <c r="L12" s="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2:24" ht="14.5" customHeight="1" x14ac:dyDescent="0.35">
      <c r="B13" s="6"/>
      <c r="C13" s="6"/>
      <c r="D13" s="8"/>
      <c r="E13" s="8">
        <v>48</v>
      </c>
      <c r="F13" s="8" t="s">
        <v>35</v>
      </c>
      <c r="G13" s="9">
        <v>44843</v>
      </c>
      <c r="H13" s="6"/>
      <c r="I13" s="5"/>
      <c r="J13" s="5"/>
      <c r="K13" s="5"/>
      <c r="L13" s="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2:24" ht="14.5" customHeight="1" x14ac:dyDescent="0.35">
      <c r="B14" s="6"/>
      <c r="C14" s="6"/>
      <c r="D14" s="8"/>
      <c r="E14" s="7">
        <v>50</v>
      </c>
      <c r="F14" s="6" t="s">
        <v>37</v>
      </c>
      <c r="G14" s="9">
        <v>44844</v>
      </c>
      <c r="H14" s="6"/>
      <c r="I14" s="5"/>
      <c r="J14" s="5"/>
      <c r="K14" s="5"/>
      <c r="L14" s="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2:24" x14ac:dyDescent="0.35">
      <c r="B15" s="6"/>
      <c r="C15" s="6"/>
      <c r="D15" s="8"/>
      <c r="E15" s="8">
        <v>40</v>
      </c>
      <c r="F15" s="8" t="s">
        <v>34</v>
      </c>
      <c r="G15" s="9">
        <v>44846</v>
      </c>
      <c r="H15" s="6"/>
      <c r="I15" s="5"/>
      <c r="J15" s="5"/>
      <c r="K15" s="5"/>
      <c r="L15" s="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2:24" x14ac:dyDescent="0.35">
      <c r="B16" s="6"/>
      <c r="C16" s="6"/>
      <c r="D16" s="8"/>
      <c r="E16" s="8">
        <v>60</v>
      </c>
      <c r="F16" s="8" t="s">
        <v>36</v>
      </c>
      <c r="G16" s="9">
        <v>44846</v>
      </c>
      <c r="H16" s="6"/>
      <c r="I16" s="5"/>
      <c r="J16" s="5"/>
      <c r="K16" s="5"/>
      <c r="L16" s="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2:24" x14ac:dyDescent="0.35">
      <c r="B17" s="6"/>
      <c r="C17" s="6"/>
      <c r="D17" s="8"/>
      <c r="E17" s="6">
        <v>30</v>
      </c>
      <c r="F17" s="6" t="s">
        <v>29</v>
      </c>
      <c r="G17" s="9">
        <v>44847</v>
      </c>
      <c r="H17" s="6"/>
      <c r="I17" s="5"/>
      <c r="J17" s="5"/>
      <c r="K17" s="5"/>
      <c r="L17" s="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2:24" x14ac:dyDescent="0.35">
      <c r="B18" s="6"/>
      <c r="C18" s="6"/>
      <c r="D18" s="8"/>
      <c r="E18" s="6">
        <v>150</v>
      </c>
      <c r="F18" s="6" t="s">
        <v>38</v>
      </c>
      <c r="G18" s="9">
        <v>44848</v>
      </c>
      <c r="H18" s="6"/>
      <c r="I18" s="5"/>
      <c r="J18" s="5"/>
      <c r="K18" s="5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2:24" x14ac:dyDescent="0.35">
      <c r="B19" s="6"/>
      <c r="C19" s="6"/>
      <c r="D19" s="6"/>
      <c r="E19" s="6">
        <v>100</v>
      </c>
      <c r="F19" s="17" t="s">
        <v>39</v>
      </c>
      <c r="G19" s="9">
        <v>44849</v>
      </c>
      <c r="H19" s="6"/>
      <c r="I19" s="5"/>
      <c r="J19" s="5"/>
      <c r="K19" s="5"/>
      <c r="L19" s="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2:24" x14ac:dyDescent="0.35">
      <c r="B20" s="6"/>
      <c r="C20" s="6"/>
      <c r="D20" s="6"/>
      <c r="E20" s="6">
        <v>50</v>
      </c>
      <c r="F20" s="6" t="s">
        <v>37</v>
      </c>
      <c r="G20" s="9">
        <v>44849</v>
      </c>
      <c r="K20" s="5"/>
      <c r="L20" s="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2:24" x14ac:dyDescent="0.35">
      <c r="B21" s="6"/>
      <c r="C21" s="6"/>
      <c r="D21" s="6"/>
      <c r="E21" s="6">
        <v>540</v>
      </c>
      <c r="F21" s="6" t="s">
        <v>41</v>
      </c>
      <c r="G21" s="9">
        <v>44852</v>
      </c>
      <c r="H21" s="6"/>
      <c r="I21" s="5"/>
      <c r="J21" s="5"/>
      <c r="K21" s="5"/>
      <c r="L21" s="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2:24" x14ac:dyDescent="0.35">
      <c r="B22" s="6"/>
      <c r="C22" s="6"/>
      <c r="D22" s="6"/>
      <c r="E22" s="6">
        <v>100</v>
      </c>
      <c r="F22" s="6" t="s">
        <v>42</v>
      </c>
      <c r="G22" s="9">
        <v>44852</v>
      </c>
      <c r="H22" s="6"/>
      <c r="I22" s="5"/>
      <c r="J22" s="5"/>
      <c r="K22" s="5"/>
      <c r="L22" s="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2:24" x14ac:dyDescent="0.35">
      <c r="B23" s="6"/>
      <c r="C23" s="6"/>
      <c r="D23" s="6"/>
      <c r="E23" s="6">
        <v>50</v>
      </c>
      <c r="F23" s="6" t="s">
        <v>49</v>
      </c>
      <c r="G23" s="9">
        <v>44852</v>
      </c>
      <c r="H23" s="6"/>
      <c r="I23" s="5"/>
      <c r="J23" s="5"/>
      <c r="K23" s="5"/>
      <c r="L23" s="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2:24" x14ac:dyDescent="0.35">
      <c r="B24" s="6"/>
      <c r="C24" s="6"/>
      <c r="D24" s="6"/>
      <c r="E24" s="6">
        <v>200</v>
      </c>
      <c r="F24" s="6" t="s">
        <v>37</v>
      </c>
      <c r="G24" s="9">
        <v>44852</v>
      </c>
      <c r="H24" s="6"/>
      <c r="I24" s="5"/>
      <c r="J24" s="5"/>
      <c r="K24" s="5"/>
      <c r="L24" s="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2:24" x14ac:dyDescent="0.35">
      <c r="B25" s="6"/>
      <c r="C25" s="6"/>
      <c r="D25" s="6"/>
      <c r="E25" s="6">
        <v>60</v>
      </c>
      <c r="F25" s="6" t="s">
        <v>43</v>
      </c>
      <c r="G25" s="9">
        <v>44853</v>
      </c>
      <c r="H25" s="6"/>
      <c r="I25" s="5"/>
      <c r="J25" s="5"/>
      <c r="K25" s="5"/>
      <c r="L25" s="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2:24" x14ac:dyDescent="0.35">
      <c r="B26" s="6"/>
      <c r="C26" s="6"/>
      <c r="D26" s="6"/>
      <c r="E26" s="6">
        <v>100</v>
      </c>
      <c r="F26" s="6" t="s">
        <v>48</v>
      </c>
      <c r="G26" s="9">
        <v>44854</v>
      </c>
      <c r="H26" s="6"/>
      <c r="I26" s="5"/>
      <c r="J26" s="5"/>
      <c r="K26" s="5"/>
      <c r="L26" s="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2:24" x14ac:dyDescent="0.35">
      <c r="B27" s="6"/>
      <c r="C27" s="6"/>
      <c r="D27" s="6"/>
      <c r="E27" s="6">
        <v>35</v>
      </c>
      <c r="F27" s="6" t="s">
        <v>44</v>
      </c>
      <c r="G27" s="9">
        <v>44855</v>
      </c>
      <c r="H27" s="6"/>
      <c r="I27" s="5"/>
      <c r="J27" s="5"/>
      <c r="K27" s="5"/>
      <c r="L27" s="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2:24" x14ac:dyDescent="0.35">
      <c r="B28" s="6"/>
      <c r="C28" s="6"/>
      <c r="D28" s="6"/>
      <c r="E28" s="6">
        <v>30</v>
      </c>
      <c r="F28" s="6" t="s">
        <v>47</v>
      </c>
      <c r="G28" s="9">
        <v>44859</v>
      </c>
      <c r="H28" s="6"/>
      <c r="I28" s="5"/>
      <c r="J28" s="5"/>
      <c r="K28" s="5"/>
      <c r="L28" s="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2:24" x14ac:dyDescent="0.35">
      <c r="B29" s="6"/>
      <c r="C29" s="6"/>
      <c r="D29" s="6"/>
      <c r="E29" s="6">
        <v>184</v>
      </c>
      <c r="F29" s="6" t="s">
        <v>40</v>
      </c>
      <c r="G29" s="9">
        <v>44863</v>
      </c>
      <c r="H29" s="6"/>
      <c r="I29" s="5"/>
      <c r="J29" s="5"/>
      <c r="K29" s="5"/>
      <c r="L29" s="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2:24" x14ac:dyDescent="0.35">
      <c r="B30" s="6"/>
      <c r="C30" s="6"/>
      <c r="D30" s="6"/>
      <c r="E30" s="6">
        <v>20</v>
      </c>
      <c r="F30" s="6" t="s">
        <v>51</v>
      </c>
      <c r="G30" s="9">
        <v>44863</v>
      </c>
      <c r="H30" s="6"/>
      <c r="I30" s="5"/>
      <c r="J30" s="5"/>
      <c r="K30" s="5"/>
      <c r="L30" s="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2:24" x14ac:dyDescent="0.35">
      <c r="B31" s="6"/>
      <c r="C31" s="6"/>
      <c r="D31" s="6"/>
      <c r="E31" s="6">
        <v>20</v>
      </c>
      <c r="F31" s="6" t="s">
        <v>52</v>
      </c>
      <c r="G31" s="9">
        <v>44864</v>
      </c>
      <c r="H31" s="6"/>
      <c r="I31" s="5"/>
      <c r="J31" s="5"/>
      <c r="K31" s="5"/>
      <c r="L31" s="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2:24" x14ac:dyDescent="0.35">
      <c r="B32" s="6"/>
      <c r="C32" s="6"/>
      <c r="D32" s="6"/>
      <c r="E32" s="6">
        <v>10</v>
      </c>
      <c r="F32" s="6" t="s">
        <v>54</v>
      </c>
      <c r="G32" s="9">
        <v>44865</v>
      </c>
      <c r="H32" s="6"/>
      <c r="I32" s="5"/>
      <c r="J32" s="5"/>
      <c r="K32" s="5"/>
      <c r="L32" s="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2:24" x14ac:dyDescent="0.35">
      <c r="B33" s="6"/>
      <c r="C33" s="6"/>
      <c r="D33" s="6"/>
      <c r="E33" s="19">
        <v>50</v>
      </c>
      <c r="F33" s="6" t="s">
        <v>37</v>
      </c>
      <c r="G33" s="9">
        <v>44865</v>
      </c>
      <c r="H33" s="6"/>
      <c r="I33" s="5"/>
      <c r="J33" s="5"/>
      <c r="K33" s="5"/>
      <c r="L33" s="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2:24" x14ac:dyDescent="0.35">
      <c r="B34" s="6"/>
      <c r="C34" s="6"/>
      <c r="D34" s="6"/>
      <c r="E34" s="19">
        <v>30</v>
      </c>
      <c r="F34" s="6" t="s">
        <v>55</v>
      </c>
      <c r="G34" s="9">
        <v>45964</v>
      </c>
      <c r="H34" s="6"/>
      <c r="I34" s="5"/>
      <c r="J34" s="5"/>
      <c r="K34" s="5"/>
      <c r="L34" s="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2:24" x14ac:dyDescent="0.35">
      <c r="B35" s="6"/>
      <c r="C35" s="6"/>
      <c r="D35" s="6"/>
      <c r="E35" s="6">
        <v>200</v>
      </c>
      <c r="F35" s="6" t="s">
        <v>27</v>
      </c>
      <c r="G35" s="9">
        <v>45964</v>
      </c>
      <c r="H35" s="6"/>
      <c r="I35" s="5"/>
      <c r="J35" s="5"/>
      <c r="K35" s="5"/>
      <c r="L35" s="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2:24" x14ac:dyDescent="0.35">
      <c r="B36" s="6"/>
      <c r="C36" s="6"/>
      <c r="D36" s="6"/>
      <c r="E36" s="6">
        <v>150</v>
      </c>
      <c r="F36" s="6" t="s">
        <v>37</v>
      </c>
      <c r="G36" s="9">
        <v>45964</v>
      </c>
      <c r="H36" s="6"/>
      <c r="I36" s="5"/>
      <c r="J36" s="5"/>
      <c r="K36" s="5"/>
      <c r="L36" s="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2:24" x14ac:dyDescent="0.35">
      <c r="B37" s="6"/>
      <c r="C37" s="6"/>
      <c r="D37" s="6"/>
      <c r="E37" s="6">
        <v>15</v>
      </c>
      <c r="F37" s="6" t="s">
        <v>56</v>
      </c>
      <c r="G37" s="9">
        <v>45964</v>
      </c>
      <c r="H37" s="6"/>
      <c r="I37" s="5"/>
      <c r="J37" s="5"/>
      <c r="K37" s="5"/>
      <c r="L37" s="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2:24" x14ac:dyDescent="0.35">
      <c r="B38" s="6"/>
      <c r="C38" s="6"/>
      <c r="D38" s="6"/>
      <c r="E38" s="6">
        <v>10</v>
      </c>
      <c r="F38" s="6" t="s">
        <v>57</v>
      </c>
      <c r="G38" s="9"/>
      <c r="H38" s="6"/>
      <c r="I38" s="5"/>
      <c r="J38" s="5"/>
      <c r="K38" s="5"/>
      <c r="L38" s="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2:24" x14ac:dyDescent="0.35">
      <c r="B39" s="6"/>
      <c r="C39" s="6"/>
      <c r="D39" s="6"/>
      <c r="E39" s="6"/>
      <c r="F39" s="6"/>
      <c r="G39" s="9"/>
      <c r="H39" s="20"/>
      <c r="I39" s="5"/>
      <c r="J39" s="5"/>
      <c r="K39" s="5"/>
      <c r="L39" s="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2:24" x14ac:dyDescent="0.35">
      <c r="B40" s="6"/>
      <c r="C40" s="6"/>
      <c r="D40" s="6"/>
      <c r="E40" s="14">
        <f>SUM(E4:E39)</f>
        <v>3052</v>
      </c>
      <c r="F40" s="6"/>
      <c r="G40" s="6"/>
      <c r="H40" s="22">
        <f>D4-E40</f>
        <v>1230.2200000000003</v>
      </c>
      <c r="I40" s="23" t="s">
        <v>15</v>
      </c>
      <c r="J40" s="23"/>
      <c r="K40" s="5"/>
      <c r="L40" s="5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2:24" x14ac:dyDescent="0.35">
      <c r="B41" s="6" t="s">
        <v>10</v>
      </c>
      <c r="C41" s="6"/>
      <c r="D41" s="13">
        <f>SUM(E40:H40)</f>
        <v>4282.22</v>
      </c>
      <c r="E41" s="6"/>
      <c r="F41" s="6"/>
      <c r="G41" s="6"/>
      <c r="H41" s="21"/>
      <c r="I41" s="5"/>
      <c r="J41" s="5"/>
      <c r="K41" s="5"/>
      <c r="L41" s="5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2:24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2:24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2:24" x14ac:dyDescent="0.35">
      <c r="B44" s="1"/>
      <c r="C44" s="1"/>
      <c r="D44" s="1"/>
      <c r="E44" s="1" t="s">
        <v>53</v>
      </c>
      <c r="F44" s="1"/>
      <c r="G44" s="1"/>
      <c r="H44" s="1">
        <v>1533.03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2:24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2:24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2:24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2:24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2:24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2:24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2:24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2:24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2:24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2:24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2:24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2:24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2:24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2:24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2:24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2:24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2:24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2:24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2:24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2:24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2:24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2:24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2:24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2:24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2:24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2:24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2:24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2:24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2:24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2:24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2:24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2:24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2:24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2:24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2:24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2:24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2:24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2:24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2:24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2:24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2:24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2:24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2:24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2:24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2:24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2:24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2:24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2:24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2:24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2:24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2:24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2:24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2:24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2:24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2:24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2:24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2:24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2:24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2:24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2:24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2:24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2:24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2:24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2:24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2:24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2:24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2:24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2:24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2:24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2:24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</sheetData>
  <pageMargins left="0.7" right="0.7" top="0.75" bottom="0.75" header="0.3" footer="0.3"/>
  <pageSetup paperSize="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400DD-AFE1-43E8-B2CF-C766C3744FCE}">
  <dimension ref="B2:X110"/>
  <sheetViews>
    <sheetView workbookViewId="0">
      <selection activeCell="G35" sqref="G35"/>
    </sheetView>
  </sheetViews>
  <sheetFormatPr baseColWidth="10" defaultColWidth="8.7265625" defaultRowHeight="14.5" x14ac:dyDescent="0.35"/>
  <cols>
    <col min="1" max="1" width="3.1796875" customWidth="1"/>
    <col min="2" max="2" width="14.1796875" customWidth="1"/>
    <col min="3" max="3" width="19.54296875" customWidth="1"/>
    <col min="4" max="4" width="13.7265625" customWidth="1"/>
    <col min="5" max="5" width="18.1796875" customWidth="1"/>
    <col min="6" max="6" width="34.81640625" customWidth="1"/>
    <col min="7" max="7" width="11.08984375" customWidth="1"/>
    <col min="8" max="8" width="13.26953125" customWidth="1"/>
    <col min="10" max="10" width="11.90625" customWidth="1"/>
  </cols>
  <sheetData>
    <row r="2" spans="2:24" x14ac:dyDescent="0.35">
      <c r="B2" s="2" t="s">
        <v>0</v>
      </c>
      <c r="C2" s="2"/>
      <c r="D2" s="4"/>
      <c r="E2" s="4"/>
      <c r="F2" s="4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2:24" x14ac:dyDescent="0.35">
      <c r="B3" s="11" t="s">
        <v>6</v>
      </c>
      <c r="C3" s="11" t="s">
        <v>16</v>
      </c>
      <c r="D3" s="12" t="s">
        <v>50</v>
      </c>
      <c r="E3" s="12" t="s">
        <v>2</v>
      </c>
      <c r="F3" s="12" t="s">
        <v>3</v>
      </c>
      <c r="G3" s="12" t="s">
        <v>4</v>
      </c>
      <c r="H3" s="11" t="s">
        <v>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2:24" ht="14.5" customHeight="1" x14ac:dyDescent="0.35">
      <c r="B4" s="13">
        <v>2022.22</v>
      </c>
      <c r="C4" s="6" t="s">
        <v>58</v>
      </c>
      <c r="D4" s="14">
        <f>SUM(B4:B7)</f>
        <v>5364.99</v>
      </c>
      <c r="E4" s="8">
        <v>2500</v>
      </c>
      <c r="F4" s="8" t="s">
        <v>60</v>
      </c>
      <c r="G4" s="9">
        <v>45965</v>
      </c>
      <c r="H4" s="6"/>
      <c r="I4" s="5"/>
      <c r="J4" s="5"/>
      <c r="K4" s="5"/>
      <c r="L4" s="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2:24" ht="14.5" customHeight="1" x14ac:dyDescent="0.35">
      <c r="B5" s="13">
        <v>1232.7</v>
      </c>
      <c r="C5" s="6" t="s">
        <v>18</v>
      </c>
      <c r="D5" s="8"/>
      <c r="E5" s="7">
        <v>25</v>
      </c>
      <c r="F5" s="8" t="s">
        <v>61</v>
      </c>
      <c r="G5" s="9">
        <v>45965</v>
      </c>
      <c r="H5" s="6"/>
      <c r="I5" s="5"/>
      <c r="J5" s="5"/>
      <c r="K5" s="5"/>
      <c r="L5" s="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2:24" ht="14.5" customHeight="1" x14ac:dyDescent="0.35">
      <c r="B6" s="24">
        <v>2110.0700000000002</v>
      </c>
      <c r="C6" s="6" t="s">
        <v>59</v>
      </c>
      <c r="D6" s="8"/>
      <c r="E6" s="7">
        <v>30</v>
      </c>
      <c r="F6" s="8" t="s">
        <v>29</v>
      </c>
      <c r="G6" s="9">
        <v>45966</v>
      </c>
      <c r="H6" s="6"/>
      <c r="I6" s="5"/>
      <c r="J6" s="5"/>
      <c r="K6" s="5"/>
      <c r="L6" s="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2:24" ht="14.5" customHeight="1" x14ac:dyDescent="0.35">
      <c r="B7" s="6"/>
      <c r="C7" s="6"/>
      <c r="D7" s="8"/>
      <c r="E7" s="7">
        <v>27</v>
      </c>
      <c r="F7" s="8" t="s">
        <v>62</v>
      </c>
      <c r="G7" s="9">
        <v>45966</v>
      </c>
      <c r="H7" s="6"/>
      <c r="I7" s="5"/>
      <c r="J7" s="5"/>
      <c r="K7" s="18"/>
      <c r="L7" s="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2:24" x14ac:dyDescent="0.35">
      <c r="B8" s="6"/>
      <c r="C8" s="6"/>
      <c r="D8" s="6"/>
      <c r="E8" s="6">
        <v>212</v>
      </c>
      <c r="F8" s="8" t="s">
        <v>63</v>
      </c>
      <c r="G8" s="9">
        <v>45966</v>
      </c>
      <c r="H8" s="6"/>
      <c r="I8" s="5"/>
      <c r="J8" s="5"/>
      <c r="K8" s="5"/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2:24" x14ac:dyDescent="0.35">
      <c r="B9" s="6"/>
      <c r="C9" s="6"/>
      <c r="D9" s="6"/>
      <c r="E9" s="6">
        <v>40</v>
      </c>
      <c r="F9" s="8" t="s">
        <v>65</v>
      </c>
      <c r="G9" s="9">
        <v>45967</v>
      </c>
      <c r="H9" s="6"/>
      <c r="I9" s="5"/>
      <c r="J9" s="5"/>
      <c r="K9" s="5"/>
      <c r="L9" s="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2:24" x14ac:dyDescent="0.35">
      <c r="B10" s="6"/>
      <c r="C10" s="6"/>
      <c r="D10" s="6"/>
      <c r="E10" s="6">
        <v>47</v>
      </c>
      <c r="F10" s="8" t="s">
        <v>64</v>
      </c>
      <c r="G10" s="9">
        <v>45969</v>
      </c>
      <c r="H10" s="6"/>
      <c r="I10" s="5"/>
      <c r="J10" s="5"/>
      <c r="K10" s="5"/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2:24" x14ac:dyDescent="0.35">
      <c r="B11" s="6"/>
      <c r="C11" s="6"/>
      <c r="D11" s="6"/>
      <c r="E11" s="6">
        <v>46</v>
      </c>
      <c r="F11" s="8" t="s">
        <v>66</v>
      </c>
      <c r="G11" s="9">
        <v>45970</v>
      </c>
      <c r="H11" s="6"/>
      <c r="I11" s="5"/>
      <c r="J11" s="5"/>
      <c r="K11" s="5"/>
      <c r="L11" s="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2:24" x14ac:dyDescent="0.35">
      <c r="B12" s="6"/>
      <c r="C12" s="6"/>
      <c r="D12" s="6"/>
      <c r="E12" s="6">
        <v>211</v>
      </c>
      <c r="F12" s="8" t="s">
        <v>67</v>
      </c>
      <c r="G12" s="9">
        <v>45971</v>
      </c>
      <c r="H12" s="6"/>
      <c r="I12" s="5"/>
      <c r="J12" s="5"/>
      <c r="K12" s="5"/>
      <c r="L12" s="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2:24" x14ac:dyDescent="0.35">
      <c r="B13" s="6"/>
      <c r="C13" s="6"/>
      <c r="D13" s="6"/>
      <c r="E13" s="19">
        <v>40</v>
      </c>
      <c r="F13" s="8" t="s">
        <v>52</v>
      </c>
      <c r="G13" s="9">
        <v>45971</v>
      </c>
      <c r="H13" s="6"/>
      <c r="I13" s="5"/>
      <c r="J13" s="5"/>
      <c r="K13" s="5"/>
      <c r="L13" s="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2:24" x14ac:dyDescent="0.35">
      <c r="B14" s="6"/>
      <c r="C14" s="6"/>
      <c r="D14" s="6"/>
      <c r="E14" s="19">
        <v>30</v>
      </c>
      <c r="F14" s="8" t="s">
        <v>70</v>
      </c>
      <c r="G14" s="9">
        <v>45972</v>
      </c>
      <c r="H14" s="6"/>
      <c r="I14" s="5"/>
      <c r="J14" s="5"/>
      <c r="K14" s="5"/>
      <c r="L14" s="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2:24" x14ac:dyDescent="0.35">
      <c r="B15" s="6"/>
      <c r="C15" s="6"/>
      <c r="D15" s="6"/>
      <c r="E15" s="19">
        <v>50</v>
      </c>
      <c r="F15" s="8" t="s">
        <v>69</v>
      </c>
      <c r="G15" s="9">
        <v>45976</v>
      </c>
      <c r="H15" s="6"/>
      <c r="I15" s="5"/>
      <c r="J15" s="5"/>
      <c r="K15" s="5"/>
      <c r="L15" s="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2:24" x14ac:dyDescent="0.35">
      <c r="B16" s="6"/>
      <c r="C16" s="6"/>
      <c r="D16" s="6"/>
      <c r="E16" s="19">
        <v>50</v>
      </c>
      <c r="F16" s="8" t="s">
        <v>71</v>
      </c>
      <c r="G16" s="9">
        <v>45978</v>
      </c>
      <c r="H16" s="6"/>
      <c r="I16" s="5"/>
      <c r="J16" s="5"/>
      <c r="K16" s="5"/>
      <c r="L16" s="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2:24" x14ac:dyDescent="0.35">
      <c r="B17" s="6"/>
      <c r="C17" s="6"/>
      <c r="D17" s="6"/>
      <c r="E17" s="6">
        <v>40</v>
      </c>
      <c r="F17" s="8" t="s">
        <v>52</v>
      </c>
      <c r="G17" s="9">
        <v>45978</v>
      </c>
      <c r="H17" s="6"/>
      <c r="I17" s="5"/>
      <c r="J17" s="5"/>
      <c r="K17" s="5"/>
      <c r="L17" s="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2:24" x14ac:dyDescent="0.35">
      <c r="B18" s="6"/>
      <c r="C18" s="6"/>
      <c r="D18" s="6"/>
      <c r="E18" s="6">
        <v>100</v>
      </c>
      <c r="F18" s="8" t="s">
        <v>19</v>
      </c>
      <c r="G18" s="9">
        <v>45979</v>
      </c>
      <c r="H18" s="6"/>
      <c r="I18" s="5"/>
      <c r="J18" s="5"/>
      <c r="K18" s="5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2:24" x14ac:dyDescent="0.35">
      <c r="B19" s="6"/>
      <c r="C19" s="6"/>
      <c r="D19" s="6"/>
      <c r="E19" s="6">
        <v>200</v>
      </c>
      <c r="F19" s="8" t="s">
        <v>68</v>
      </c>
      <c r="G19" s="9" t="s">
        <v>73</v>
      </c>
      <c r="H19" s="6"/>
      <c r="I19" s="5"/>
      <c r="J19" s="5"/>
      <c r="K19" s="5"/>
      <c r="L19" s="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2:24" x14ac:dyDescent="0.35">
      <c r="B20" s="6"/>
      <c r="C20" s="6"/>
      <c r="D20" s="6"/>
      <c r="E20" s="6">
        <v>20</v>
      </c>
      <c r="F20" s="8" t="s">
        <v>71</v>
      </c>
      <c r="G20" s="9">
        <v>45979</v>
      </c>
      <c r="H20" s="6"/>
      <c r="I20" s="5"/>
      <c r="J20" s="5"/>
      <c r="K20" s="5"/>
      <c r="L20" s="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2:24" x14ac:dyDescent="0.35">
      <c r="B21" s="6"/>
      <c r="C21" s="6"/>
      <c r="D21" s="6"/>
      <c r="E21" s="6">
        <v>560</v>
      </c>
      <c r="F21" s="8" t="s">
        <v>72</v>
      </c>
      <c r="G21" s="9">
        <v>45979</v>
      </c>
      <c r="H21" s="20"/>
      <c r="I21" s="5"/>
      <c r="J21" s="5"/>
      <c r="K21" s="5"/>
      <c r="L21" s="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2:24" x14ac:dyDescent="0.35">
      <c r="B22" s="6"/>
      <c r="C22" s="6"/>
      <c r="D22" s="6"/>
      <c r="E22" s="6">
        <v>20</v>
      </c>
      <c r="F22" s="8" t="s">
        <v>29</v>
      </c>
      <c r="G22" s="9">
        <v>45982</v>
      </c>
      <c r="H22" s="20"/>
      <c r="I22" s="5"/>
      <c r="J22" s="5"/>
      <c r="K22" s="5"/>
      <c r="L22" s="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2:24" x14ac:dyDescent="0.35">
      <c r="B23" s="6"/>
      <c r="C23" s="6"/>
      <c r="D23" s="6"/>
      <c r="E23" s="6">
        <v>144</v>
      </c>
      <c r="F23" s="8" t="s">
        <v>74</v>
      </c>
      <c r="G23" s="9">
        <v>45985</v>
      </c>
      <c r="H23" s="20"/>
      <c r="I23" s="5"/>
      <c r="J23" s="5"/>
      <c r="K23" s="5"/>
      <c r="L23" s="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2:24" x14ac:dyDescent="0.35">
      <c r="B24" s="6"/>
      <c r="C24" s="6"/>
      <c r="D24" s="6"/>
      <c r="E24" s="6">
        <v>7</v>
      </c>
      <c r="F24" s="8" t="s">
        <v>54</v>
      </c>
      <c r="G24" s="9">
        <v>45990</v>
      </c>
      <c r="H24" s="20"/>
      <c r="I24" s="5"/>
      <c r="J24" s="5"/>
      <c r="K24" s="5"/>
      <c r="L24" s="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2:24" x14ac:dyDescent="0.35">
      <c r="B25" s="6"/>
      <c r="C25" s="6"/>
      <c r="D25" s="6"/>
      <c r="E25" s="6">
        <v>10</v>
      </c>
      <c r="F25" s="8" t="s">
        <v>29</v>
      </c>
      <c r="G25" s="9">
        <v>45990</v>
      </c>
      <c r="H25" s="20"/>
      <c r="I25" s="5"/>
      <c r="J25" s="5"/>
      <c r="K25" s="5"/>
      <c r="L25" s="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2:24" x14ac:dyDescent="0.35">
      <c r="B26" s="6"/>
      <c r="C26" s="6"/>
      <c r="D26" s="6"/>
      <c r="E26" s="6">
        <v>30</v>
      </c>
      <c r="F26" s="8" t="s">
        <v>29</v>
      </c>
      <c r="G26" s="9">
        <v>45990</v>
      </c>
      <c r="H26" s="20"/>
      <c r="I26" s="5"/>
      <c r="J26" s="5"/>
      <c r="K26" s="5"/>
      <c r="L26" s="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2:24" x14ac:dyDescent="0.35">
      <c r="B27" s="6"/>
      <c r="C27" s="6"/>
      <c r="D27" s="6"/>
      <c r="E27" s="6">
        <v>200</v>
      </c>
      <c r="F27" s="8" t="s">
        <v>37</v>
      </c>
      <c r="G27" s="9">
        <v>45990</v>
      </c>
      <c r="H27" s="20"/>
      <c r="I27" s="5"/>
      <c r="J27" s="5"/>
      <c r="K27" s="5"/>
      <c r="L27" s="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2:24" x14ac:dyDescent="0.35">
      <c r="B28" s="6"/>
      <c r="C28" s="6"/>
      <c r="D28" s="6"/>
      <c r="E28" s="6">
        <v>100</v>
      </c>
      <c r="F28" s="8" t="s">
        <v>75</v>
      </c>
      <c r="G28" s="9" t="s">
        <v>80</v>
      </c>
      <c r="H28" s="20"/>
      <c r="I28" s="5"/>
      <c r="J28" s="5"/>
      <c r="K28" s="5"/>
      <c r="L28" s="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2:24" x14ac:dyDescent="0.35">
      <c r="B29" s="6"/>
      <c r="C29" s="6"/>
      <c r="D29" s="6"/>
      <c r="E29" s="6">
        <v>40</v>
      </c>
      <c r="F29" s="8" t="s">
        <v>79</v>
      </c>
      <c r="G29" s="9" t="s">
        <v>80</v>
      </c>
      <c r="H29" s="20"/>
      <c r="I29" s="5"/>
      <c r="J29" s="5"/>
      <c r="K29" s="5"/>
      <c r="L29" s="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2:24" x14ac:dyDescent="0.35">
      <c r="B30" s="6"/>
      <c r="C30" s="6"/>
      <c r="D30" s="6"/>
      <c r="E30" s="6">
        <v>5</v>
      </c>
      <c r="F30" s="8" t="s">
        <v>78</v>
      </c>
      <c r="G30" s="9" t="s">
        <v>80</v>
      </c>
      <c r="H30" s="20"/>
      <c r="I30" s="5"/>
      <c r="J30" s="5"/>
      <c r="K30" s="5"/>
      <c r="L30" s="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2:24" x14ac:dyDescent="0.35">
      <c r="B31" s="6"/>
      <c r="C31" s="6"/>
      <c r="D31" s="6"/>
      <c r="E31" s="6">
        <v>25</v>
      </c>
      <c r="F31" s="8" t="s">
        <v>81</v>
      </c>
      <c r="G31" s="9">
        <v>45992</v>
      </c>
      <c r="H31" s="20"/>
      <c r="I31" s="5"/>
      <c r="J31" s="5"/>
      <c r="K31" s="5"/>
      <c r="L31" s="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2:24" x14ac:dyDescent="0.35">
      <c r="B32" s="6"/>
      <c r="C32" s="6"/>
      <c r="D32" s="6"/>
      <c r="E32" s="6">
        <v>400</v>
      </c>
      <c r="F32" s="8" t="s">
        <v>76</v>
      </c>
      <c r="G32" s="9">
        <v>45992</v>
      </c>
      <c r="H32" s="20"/>
      <c r="I32" s="5"/>
      <c r="J32" s="5"/>
      <c r="K32" s="5"/>
      <c r="L32" s="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2:24" x14ac:dyDescent="0.35">
      <c r="B33" s="6"/>
      <c r="C33" s="6"/>
      <c r="D33" s="6"/>
      <c r="E33" s="6">
        <v>15</v>
      </c>
      <c r="F33" s="8" t="s">
        <v>77</v>
      </c>
      <c r="G33" s="9">
        <v>45993</v>
      </c>
      <c r="H33" s="20"/>
      <c r="I33" s="5"/>
      <c r="J33" s="5"/>
      <c r="K33" s="5"/>
      <c r="L33" s="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2:24" x14ac:dyDescent="0.35">
      <c r="B34" s="6"/>
      <c r="C34" s="6"/>
      <c r="D34" s="6"/>
      <c r="E34" s="6">
        <v>39</v>
      </c>
      <c r="F34" s="8" t="s">
        <v>77</v>
      </c>
      <c r="G34" s="9">
        <v>45993</v>
      </c>
      <c r="H34" s="20"/>
      <c r="I34" s="5"/>
      <c r="J34" s="5"/>
      <c r="K34" s="5"/>
      <c r="L34" s="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2:24" x14ac:dyDescent="0.35">
      <c r="B35" s="6"/>
      <c r="C35" s="6"/>
      <c r="D35" s="6"/>
      <c r="E35" s="6">
        <v>100</v>
      </c>
      <c r="F35" s="8" t="s">
        <v>75</v>
      </c>
      <c r="G35" s="9"/>
      <c r="H35" s="20"/>
      <c r="I35" s="5"/>
      <c r="J35" s="5"/>
      <c r="K35" s="5"/>
      <c r="L35" s="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2:24" x14ac:dyDescent="0.35">
      <c r="B36" s="6"/>
      <c r="C36" s="6"/>
      <c r="D36" s="6"/>
      <c r="E36" s="14">
        <f>SUM(E4:E35)</f>
        <v>5363</v>
      </c>
      <c r="F36" s="6"/>
      <c r="G36" s="6"/>
      <c r="H36" s="22">
        <f>D4-E36</f>
        <v>1.9899999999997817</v>
      </c>
      <c r="I36" s="23" t="s">
        <v>15</v>
      </c>
      <c r="J36" s="23"/>
      <c r="K36" s="5"/>
      <c r="L36" s="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2:24" x14ac:dyDescent="0.35">
      <c r="B37" s="6" t="s">
        <v>10</v>
      </c>
      <c r="C37" s="6"/>
      <c r="D37" s="13">
        <f>SUM(E36:H36)</f>
        <v>5364.99</v>
      </c>
      <c r="E37" s="6"/>
      <c r="F37" s="6"/>
      <c r="G37" s="6"/>
      <c r="H37" s="21"/>
      <c r="I37" s="5"/>
      <c r="J37" s="5"/>
      <c r="K37" s="5"/>
      <c r="L37" s="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2:24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2:24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2:24" x14ac:dyDescent="0.35">
      <c r="B40" s="1"/>
      <c r="C40" s="1"/>
      <c r="D40" s="1"/>
      <c r="E40" s="1" t="s">
        <v>53</v>
      </c>
      <c r="F40" s="1"/>
      <c r="G40" s="1"/>
      <c r="H40" s="1">
        <v>1533.03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2:24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2:24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2:24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2:24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2:24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2:24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2:24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2:24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2:24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2:24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2:24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2:24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2:24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2:24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2:24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2:24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2:24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2:24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2:24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2:24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2:24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2:24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2:24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2:24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2:24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2:24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2:24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2:24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2:24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2:24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2:24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2:24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2:24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2:24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2:24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2:24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2:24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2:24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2:24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2:24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2:24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2:24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2:24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2:24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2:24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2:24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2:24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2:24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2:24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2:24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2:24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2:24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2:24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2:24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2:24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2:24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2:24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2:24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2:24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2:24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2:24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2:24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2:24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2:24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2:24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2:24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2:24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2:24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2:24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2:24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</sheetData>
  <pageMargins left="0.7" right="0.7" top="0.75" bottom="0.75" header="0.3" footer="0.3"/>
  <pageSetup paperSize="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9B58A-F89F-495A-9616-A935D88CE666}">
  <dimension ref="B2:X105"/>
  <sheetViews>
    <sheetView workbookViewId="0">
      <selection activeCell="G25" sqref="G25"/>
    </sheetView>
  </sheetViews>
  <sheetFormatPr baseColWidth="10" defaultColWidth="8.7265625" defaultRowHeight="14.5" x14ac:dyDescent="0.35"/>
  <cols>
    <col min="1" max="1" width="3.1796875" customWidth="1"/>
    <col min="2" max="2" width="14.1796875" customWidth="1"/>
    <col min="3" max="3" width="24.6328125" customWidth="1"/>
    <col min="4" max="4" width="13.7265625" customWidth="1"/>
    <col min="5" max="5" width="18.1796875" customWidth="1"/>
    <col min="6" max="6" width="34.81640625" customWidth="1"/>
    <col min="7" max="7" width="11.08984375" customWidth="1"/>
    <col min="8" max="8" width="13.26953125" customWidth="1"/>
    <col min="10" max="10" width="11.90625" customWidth="1"/>
    <col min="11" max="11" width="12.90625" customWidth="1"/>
  </cols>
  <sheetData>
    <row r="2" spans="2:24" x14ac:dyDescent="0.35">
      <c r="B2" s="26" t="s">
        <v>0</v>
      </c>
      <c r="C2" s="26"/>
      <c r="D2" s="26"/>
      <c r="E2" s="26"/>
      <c r="F2" s="26"/>
      <c r="G2" s="26"/>
      <c r="H2" s="2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2:24" x14ac:dyDescent="0.35">
      <c r="B3" s="11" t="s">
        <v>6</v>
      </c>
      <c r="C3" s="11" t="s">
        <v>87</v>
      </c>
      <c r="D3" s="12" t="s">
        <v>50</v>
      </c>
      <c r="E3" s="12" t="s">
        <v>85</v>
      </c>
      <c r="F3" s="12" t="s">
        <v>86</v>
      </c>
      <c r="G3" s="12" t="s">
        <v>4</v>
      </c>
      <c r="H3" s="11" t="s">
        <v>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2:24" ht="14.5" customHeight="1" x14ac:dyDescent="0.35">
      <c r="B4" s="13">
        <v>2022.57</v>
      </c>
      <c r="C4" s="6" t="s">
        <v>82</v>
      </c>
      <c r="D4" s="14">
        <f>SUM(B4:B9)</f>
        <v>6345.9</v>
      </c>
      <c r="E4" s="8">
        <v>110</v>
      </c>
      <c r="F4" s="8" t="s">
        <v>88</v>
      </c>
      <c r="G4" s="9">
        <v>45991</v>
      </c>
      <c r="H4" s="6">
        <f>(D4-E4)</f>
        <v>6235.9</v>
      </c>
      <c r="I4" s="5"/>
      <c r="J4" s="5"/>
      <c r="K4" s="5"/>
      <c r="L4" s="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2:24" ht="14.5" customHeight="1" x14ac:dyDescent="0.35">
      <c r="B5" s="13">
        <v>0</v>
      </c>
      <c r="C5" s="6" t="s">
        <v>18</v>
      </c>
      <c r="D5" s="8"/>
      <c r="E5" s="7">
        <v>100</v>
      </c>
      <c r="F5" s="8" t="s">
        <v>89</v>
      </c>
      <c r="G5" s="9">
        <v>45994</v>
      </c>
      <c r="H5" s="6">
        <f>H4-E5</f>
        <v>6135.9</v>
      </c>
      <c r="I5" s="5"/>
      <c r="J5" s="5"/>
      <c r="K5" s="5"/>
      <c r="L5" s="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2:24" ht="14.5" customHeight="1" x14ac:dyDescent="0.35">
      <c r="B6" s="13">
        <v>227.2</v>
      </c>
      <c r="C6" s="6" t="s">
        <v>83</v>
      </c>
      <c r="D6" s="8"/>
      <c r="E6" s="7">
        <v>100</v>
      </c>
      <c r="F6" s="8" t="s">
        <v>90</v>
      </c>
      <c r="G6" s="9">
        <v>46030</v>
      </c>
      <c r="H6" s="6">
        <f t="shared" ref="H6:H30" si="0">H5-E6</f>
        <v>6035.9</v>
      </c>
      <c r="I6" s="5"/>
      <c r="J6" s="5"/>
      <c r="K6" s="5"/>
      <c r="L6" s="5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2:24" ht="14.5" customHeight="1" x14ac:dyDescent="0.35">
      <c r="B7" s="13">
        <v>1986.13</v>
      </c>
      <c r="C7" s="6" t="s">
        <v>84</v>
      </c>
      <c r="D7" s="8"/>
      <c r="E7" s="7">
        <v>215</v>
      </c>
      <c r="F7" s="8" t="s">
        <v>91</v>
      </c>
      <c r="G7" s="9">
        <v>46031</v>
      </c>
      <c r="H7" s="6">
        <f t="shared" si="0"/>
        <v>5820.9</v>
      </c>
      <c r="I7" s="5"/>
      <c r="J7" s="5"/>
      <c r="K7" s="5"/>
      <c r="L7" s="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2:24" ht="14.5" customHeight="1" x14ac:dyDescent="0.35">
      <c r="B8" s="24">
        <v>2110</v>
      </c>
      <c r="C8" s="6" t="s">
        <v>94</v>
      </c>
      <c r="D8" s="8"/>
      <c r="E8" s="7">
        <v>100</v>
      </c>
      <c r="F8" s="8" t="s">
        <v>92</v>
      </c>
      <c r="G8" s="9">
        <v>46032</v>
      </c>
      <c r="H8" s="6">
        <f t="shared" si="0"/>
        <v>5720.9</v>
      </c>
      <c r="I8" s="5"/>
      <c r="J8" s="5"/>
      <c r="K8" s="5"/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2:24" ht="14.5" customHeight="1" x14ac:dyDescent="0.35">
      <c r="B9" s="6"/>
      <c r="C9" s="6"/>
      <c r="D9" s="8"/>
      <c r="E9" s="7">
        <v>40</v>
      </c>
      <c r="F9" s="8" t="s">
        <v>93</v>
      </c>
      <c r="G9" s="9">
        <v>46033</v>
      </c>
      <c r="H9" s="6">
        <f t="shared" si="0"/>
        <v>5680.9</v>
      </c>
      <c r="I9" s="5"/>
      <c r="J9" s="5"/>
      <c r="K9" s="18"/>
      <c r="L9" s="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2:24" x14ac:dyDescent="0.35">
      <c r="B10" s="6"/>
      <c r="C10" s="6"/>
      <c r="D10" s="6"/>
      <c r="E10" s="6">
        <v>50</v>
      </c>
      <c r="F10" s="8" t="s">
        <v>37</v>
      </c>
      <c r="G10" s="9">
        <v>46034</v>
      </c>
      <c r="H10" s="6">
        <f t="shared" si="0"/>
        <v>5630.9</v>
      </c>
      <c r="I10" s="5"/>
      <c r="J10" s="5"/>
      <c r="K10" s="5"/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2:24" x14ac:dyDescent="0.35">
      <c r="B11" s="6"/>
      <c r="C11" s="6"/>
      <c r="D11" s="6"/>
      <c r="E11" s="6">
        <v>30</v>
      </c>
      <c r="F11" s="8" t="s">
        <v>49</v>
      </c>
      <c r="G11" s="9">
        <v>46035</v>
      </c>
      <c r="H11" s="6">
        <f t="shared" si="0"/>
        <v>5600.9</v>
      </c>
      <c r="I11" s="5"/>
      <c r="J11" s="5"/>
      <c r="K11" s="5"/>
      <c r="L11" s="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2:24" x14ac:dyDescent="0.35">
      <c r="B12" s="6"/>
      <c r="C12" s="6"/>
      <c r="D12" s="6"/>
      <c r="E12" s="6">
        <v>100</v>
      </c>
      <c r="F12" s="8" t="s">
        <v>37</v>
      </c>
      <c r="G12" s="9">
        <v>46036</v>
      </c>
      <c r="H12" s="6">
        <f t="shared" si="0"/>
        <v>5500.9</v>
      </c>
      <c r="I12" s="5"/>
      <c r="J12" s="5"/>
      <c r="K12" s="5"/>
      <c r="L12" s="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2:24" x14ac:dyDescent="0.35">
      <c r="B13" s="6"/>
      <c r="C13" s="6"/>
      <c r="D13" s="6"/>
      <c r="E13" s="6">
        <v>40</v>
      </c>
      <c r="F13" s="8" t="s">
        <v>95</v>
      </c>
      <c r="G13" s="9">
        <v>46371</v>
      </c>
      <c r="H13" s="6">
        <f>H12-E13</f>
        <v>5460.9</v>
      </c>
      <c r="I13" s="5"/>
      <c r="J13" s="5"/>
      <c r="K13" s="5"/>
      <c r="L13" s="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2:24" x14ac:dyDescent="0.35">
      <c r="B14" s="6"/>
      <c r="C14" s="6"/>
      <c r="D14" s="6"/>
      <c r="E14" s="6">
        <v>50</v>
      </c>
      <c r="F14" s="8" t="s">
        <v>96</v>
      </c>
      <c r="G14" s="9">
        <v>46373</v>
      </c>
      <c r="H14" s="6">
        <f t="shared" si="0"/>
        <v>5410.9</v>
      </c>
      <c r="I14" s="5"/>
      <c r="J14" s="5"/>
      <c r="K14" s="5"/>
      <c r="L14" s="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2:24" x14ac:dyDescent="0.35">
      <c r="B15" s="6"/>
      <c r="C15" s="6"/>
      <c r="D15" s="6"/>
      <c r="E15" s="19">
        <v>250</v>
      </c>
      <c r="F15" s="16" t="s">
        <v>37</v>
      </c>
      <c r="G15" s="9">
        <v>46374</v>
      </c>
      <c r="H15" s="6">
        <f t="shared" si="0"/>
        <v>5160.8999999999996</v>
      </c>
      <c r="I15" s="5"/>
      <c r="J15" s="5"/>
      <c r="K15" s="5"/>
      <c r="L15" s="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2:24" x14ac:dyDescent="0.35">
      <c r="B16" s="6"/>
      <c r="C16" s="6"/>
      <c r="D16" s="6"/>
      <c r="E16" s="6">
        <v>30</v>
      </c>
      <c r="F16" s="8" t="s">
        <v>99</v>
      </c>
      <c r="G16" s="9">
        <v>46371</v>
      </c>
      <c r="H16" s="6">
        <f t="shared" si="0"/>
        <v>5130.8999999999996</v>
      </c>
      <c r="I16" s="5"/>
      <c r="J16" s="5"/>
      <c r="K16" s="5"/>
      <c r="L16" s="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2:24" x14ac:dyDescent="0.35">
      <c r="B17" s="6"/>
      <c r="C17" s="6"/>
      <c r="D17" s="6"/>
      <c r="E17" s="6">
        <v>40</v>
      </c>
      <c r="F17" s="8" t="s">
        <v>98</v>
      </c>
      <c r="G17" s="9">
        <v>46371</v>
      </c>
      <c r="H17" s="6">
        <f>H16-E17</f>
        <v>5090.8999999999996</v>
      </c>
      <c r="I17" s="5"/>
      <c r="J17" s="5"/>
      <c r="K17" s="5"/>
      <c r="L17" s="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2:24" x14ac:dyDescent="0.35">
      <c r="B18" s="6"/>
      <c r="C18" s="6"/>
      <c r="D18" s="6"/>
      <c r="E18" s="6">
        <v>1025</v>
      </c>
      <c r="F18" s="8" t="s">
        <v>97</v>
      </c>
      <c r="G18" s="9">
        <v>46376</v>
      </c>
      <c r="H18" s="6">
        <f t="shared" si="0"/>
        <v>4065.8999999999996</v>
      </c>
      <c r="I18" s="5"/>
      <c r="J18" s="5"/>
      <c r="K18" s="5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2:24" x14ac:dyDescent="0.35">
      <c r="B19" s="6"/>
      <c r="C19" s="6"/>
      <c r="D19" s="6"/>
      <c r="E19" s="6">
        <v>40</v>
      </c>
      <c r="F19" s="8" t="s">
        <v>100</v>
      </c>
      <c r="G19" s="9">
        <v>46376</v>
      </c>
      <c r="H19" s="6">
        <f t="shared" si="0"/>
        <v>4025.8999999999996</v>
      </c>
      <c r="I19" s="5"/>
      <c r="J19" s="5"/>
      <c r="K19" s="5"/>
      <c r="L19" s="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2:24" x14ac:dyDescent="0.35">
      <c r="B20" s="6"/>
      <c r="C20" s="6"/>
      <c r="D20" s="6"/>
      <c r="E20" s="6">
        <v>100</v>
      </c>
      <c r="F20" s="8" t="s">
        <v>37</v>
      </c>
      <c r="G20" s="9">
        <v>46376</v>
      </c>
      <c r="H20" s="6">
        <f t="shared" si="0"/>
        <v>3925.8999999999996</v>
      </c>
      <c r="I20" s="5"/>
      <c r="J20" s="5"/>
      <c r="K20" s="5"/>
      <c r="L20" s="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2:24" x14ac:dyDescent="0.35">
      <c r="B21" s="6"/>
      <c r="C21" s="6"/>
      <c r="D21" s="6"/>
      <c r="E21" s="6">
        <v>75</v>
      </c>
      <c r="F21" s="8" t="s">
        <v>101</v>
      </c>
      <c r="G21" s="9">
        <v>46013</v>
      </c>
      <c r="H21" s="6">
        <f>H20-E21</f>
        <v>3850.8999999999996</v>
      </c>
      <c r="I21" s="5"/>
      <c r="J21" s="5"/>
      <c r="K21" s="5"/>
      <c r="L21" s="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2:24" x14ac:dyDescent="0.35">
      <c r="B22" s="6"/>
      <c r="C22" s="6"/>
      <c r="D22" s="6"/>
      <c r="E22" s="6">
        <v>230</v>
      </c>
      <c r="F22" s="8" t="s">
        <v>102</v>
      </c>
      <c r="G22" s="9">
        <v>46013</v>
      </c>
      <c r="H22" s="6">
        <f t="shared" si="0"/>
        <v>3620.8999999999996</v>
      </c>
      <c r="I22" s="5"/>
      <c r="J22" s="5"/>
      <c r="K22" s="5"/>
      <c r="L22" s="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2:24" x14ac:dyDescent="0.35">
      <c r="B23" s="6"/>
      <c r="C23" s="6"/>
      <c r="D23" s="6"/>
      <c r="E23" s="6">
        <v>115</v>
      </c>
      <c r="F23" s="8" t="s">
        <v>103</v>
      </c>
      <c r="G23" s="9">
        <v>46013</v>
      </c>
      <c r="H23" s="6">
        <f t="shared" si="0"/>
        <v>3505.8999999999996</v>
      </c>
      <c r="I23" s="5"/>
      <c r="J23" s="5"/>
      <c r="K23" s="5"/>
      <c r="L23" s="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2:24" x14ac:dyDescent="0.35">
      <c r="B24" s="6"/>
      <c r="C24" s="6"/>
      <c r="D24" s="6"/>
      <c r="E24" s="6">
        <v>300</v>
      </c>
      <c r="F24" s="8" t="s">
        <v>104</v>
      </c>
      <c r="G24" s="9">
        <v>46014</v>
      </c>
      <c r="H24" s="6">
        <f t="shared" si="0"/>
        <v>3205.8999999999996</v>
      </c>
      <c r="I24" s="27"/>
      <c r="J24" s="5"/>
      <c r="K24" s="5"/>
      <c r="L24" s="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2:24" x14ac:dyDescent="0.35">
      <c r="B25" s="6"/>
      <c r="C25" s="6"/>
      <c r="D25" s="6"/>
      <c r="E25" s="6">
        <v>650</v>
      </c>
      <c r="F25" s="8" t="s">
        <v>111</v>
      </c>
      <c r="G25" s="9">
        <v>46019</v>
      </c>
      <c r="H25" s="6">
        <f t="shared" si="0"/>
        <v>2555.8999999999996</v>
      </c>
      <c r="I25" s="27"/>
      <c r="J25" s="5"/>
      <c r="K25" s="5"/>
      <c r="L25" s="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2:24" x14ac:dyDescent="0.35">
      <c r="B26" s="6"/>
      <c r="C26" s="6"/>
      <c r="D26" s="6"/>
      <c r="E26" s="6">
        <v>250</v>
      </c>
      <c r="F26" s="8" t="s">
        <v>112</v>
      </c>
      <c r="G26" s="9">
        <v>46019</v>
      </c>
      <c r="H26" s="6">
        <f t="shared" si="0"/>
        <v>2305.8999999999996</v>
      </c>
      <c r="I26" s="27"/>
      <c r="J26" s="5"/>
      <c r="K26" s="5"/>
      <c r="L26" s="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2:24" x14ac:dyDescent="0.35">
      <c r="B27" s="6"/>
      <c r="C27" s="6"/>
      <c r="D27" s="6"/>
      <c r="E27" s="6">
        <v>30</v>
      </c>
      <c r="F27" s="8" t="s">
        <v>105</v>
      </c>
      <c r="G27" s="9">
        <v>46020</v>
      </c>
      <c r="H27" s="6">
        <f t="shared" si="0"/>
        <v>2275.8999999999996</v>
      </c>
      <c r="I27" s="5"/>
      <c r="J27" s="5"/>
      <c r="K27" s="5"/>
      <c r="L27" s="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2:24" x14ac:dyDescent="0.35">
      <c r="B28" s="6"/>
      <c r="C28" s="6"/>
      <c r="D28" s="6"/>
      <c r="E28" s="6">
        <v>100</v>
      </c>
      <c r="F28" s="8" t="s">
        <v>109</v>
      </c>
      <c r="G28" s="9">
        <v>46020</v>
      </c>
      <c r="H28" s="6">
        <f t="shared" si="0"/>
        <v>2175.8999999999996</v>
      </c>
      <c r="I28" s="5"/>
      <c r="J28" s="5"/>
      <c r="K28" s="5"/>
      <c r="L28" s="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2:24" x14ac:dyDescent="0.35">
      <c r="B29" s="6"/>
      <c r="C29" s="6"/>
      <c r="D29" s="6"/>
      <c r="E29" s="6">
        <v>45</v>
      </c>
      <c r="F29" s="8" t="s">
        <v>108</v>
      </c>
      <c r="G29" s="9">
        <v>46021</v>
      </c>
      <c r="H29" s="6">
        <f t="shared" si="0"/>
        <v>2130.8999999999996</v>
      </c>
      <c r="I29" s="5"/>
      <c r="J29" s="5"/>
      <c r="K29" s="5"/>
      <c r="L29" s="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2:24" x14ac:dyDescent="0.35">
      <c r="B30" s="6"/>
      <c r="C30" s="6"/>
      <c r="D30" s="6"/>
      <c r="E30" s="6">
        <v>40</v>
      </c>
      <c r="F30" s="8" t="s">
        <v>106</v>
      </c>
      <c r="G30" s="9">
        <v>46022</v>
      </c>
      <c r="H30" s="6">
        <f t="shared" si="0"/>
        <v>2090.8999999999996</v>
      </c>
      <c r="I30" s="5"/>
      <c r="J30" s="5"/>
      <c r="K30" s="5"/>
      <c r="L30" s="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2:24" x14ac:dyDescent="0.35">
      <c r="B31" s="6"/>
      <c r="C31" s="6"/>
      <c r="D31" s="6"/>
      <c r="E31" s="14">
        <f>SUM(E4:E30)</f>
        <v>4255</v>
      </c>
      <c r="F31" s="6"/>
      <c r="G31" s="6"/>
      <c r="H31" s="22">
        <f>D4-E31</f>
        <v>2090.8999999999996</v>
      </c>
      <c r="I31" s="25" t="s">
        <v>110</v>
      </c>
      <c r="J31" s="25"/>
      <c r="K31" s="25"/>
      <c r="L31" s="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2:24" x14ac:dyDescent="0.35">
      <c r="B32" s="6" t="s">
        <v>10</v>
      </c>
      <c r="C32" s="6"/>
      <c r="D32" s="13">
        <f>SUM(E31:H31)</f>
        <v>6345.9</v>
      </c>
      <c r="E32" s="6"/>
      <c r="F32" s="6"/>
      <c r="G32" s="6"/>
      <c r="H32" s="21"/>
      <c r="I32" s="5"/>
      <c r="J32" s="5"/>
      <c r="K32" s="5"/>
      <c r="L32" s="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2:24" x14ac:dyDescent="0.3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2:24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2:24" x14ac:dyDescent="0.35">
      <c r="B35" s="1"/>
      <c r="C35" s="1"/>
      <c r="D35" s="1"/>
      <c r="E35" s="1" t="s">
        <v>53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2:24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2:24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2:24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2:24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2:24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2:24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2:24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2:24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2:24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2:24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2:24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2:24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2:24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2:24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2:24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2:24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2:24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2:24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2:24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2:24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2:24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2:24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2:24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2:24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2:24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2:24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2:24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2:24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2:24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2:24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2:24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2:24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2:24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2:24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2:24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2:24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2:24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2:24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2:24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2:24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2:24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2:24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2:24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2:24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2:24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2:24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2:24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2:24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2:24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2:24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2:24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2:24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2:24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2:24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2:24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2:24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2:24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2:24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2:24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2:24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2:24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2:24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2:24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2:24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2:24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2:24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2:24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2:24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2:24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2:24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</sheetData>
  <mergeCells count="2">
    <mergeCell ref="B2:H2"/>
    <mergeCell ref="I31:K31"/>
  </mergeCells>
  <pageMargins left="0.7" right="0.7" top="0.75" bottom="0.75" header="0.3" footer="0.3"/>
  <pageSetup paperSize="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96E7-8BBE-4BB1-B062-6F807BAF4D7C}">
  <dimension ref="B2:Y94"/>
  <sheetViews>
    <sheetView workbookViewId="0">
      <selection activeCell="B3" sqref="B3:I3"/>
    </sheetView>
  </sheetViews>
  <sheetFormatPr baseColWidth="10" defaultColWidth="8.7265625" defaultRowHeight="14.5" x14ac:dyDescent="0.35"/>
  <cols>
    <col min="1" max="1" width="3.1796875" customWidth="1"/>
    <col min="2" max="2" width="14.1796875" customWidth="1"/>
    <col min="3" max="3" width="25.453125" customWidth="1"/>
    <col min="4" max="4" width="16.36328125" customWidth="1"/>
    <col min="5" max="5" width="13.7265625" customWidth="1"/>
    <col min="6" max="6" width="18.1796875" customWidth="1"/>
    <col min="7" max="7" width="34.81640625" customWidth="1"/>
    <col min="8" max="8" width="11.08984375" customWidth="1"/>
    <col min="9" max="9" width="13.26953125" customWidth="1"/>
    <col min="11" max="11" width="11.90625" customWidth="1"/>
    <col min="12" max="12" width="12.90625" customWidth="1"/>
  </cols>
  <sheetData>
    <row r="2" spans="2:25" x14ac:dyDescent="0.35">
      <c r="B2" s="26" t="s">
        <v>0</v>
      </c>
      <c r="C2" s="26"/>
      <c r="D2" s="26"/>
      <c r="E2" s="26"/>
      <c r="F2" s="26"/>
      <c r="G2" s="26"/>
      <c r="H2" s="26"/>
      <c r="I2" s="2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2:25" ht="18" customHeight="1" x14ac:dyDescent="0.35">
      <c r="B3" s="29" t="s">
        <v>6</v>
      </c>
      <c r="C3" s="29" t="s">
        <v>87</v>
      </c>
      <c r="D3" s="29" t="s">
        <v>118</v>
      </c>
      <c r="E3" s="30" t="s">
        <v>50</v>
      </c>
      <c r="F3" s="30" t="s">
        <v>85</v>
      </c>
      <c r="G3" s="30" t="s">
        <v>86</v>
      </c>
      <c r="H3" s="30" t="s">
        <v>4</v>
      </c>
      <c r="I3" s="29" t="s">
        <v>7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2:25" ht="14.5" customHeight="1" x14ac:dyDescent="0.35">
      <c r="B4" s="13">
        <v>1915.98</v>
      </c>
      <c r="C4" s="6" t="s">
        <v>113</v>
      </c>
      <c r="D4" s="9">
        <v>46017</v>
      </c>
      <c r="E4" s="14">
        <f>SUM(B4:B9)</f>
        <v>4026.88</v>
      </c>
      <c r="F4" s="8">
        <v>30</v>
      </c>
      <c r="G4" s="8" t="s">
        <v>107</v>
      </c>
      <c r="H4" s="9">
        <v>46023</v>
      </c>
      <c r="I4" s="6">
        <f>(E4-F4)</f>
        <v>3996.88</v>
      </c>
      <c r="J4" s="5"/>
      <c r="K4" s="5"/>
      <c r="L4" s="5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2:25" ht="14.5" customHeight="1" x14ac:dyDescent="0.35">
      <c r="B5" s="13">
        <v>2090.9</v>
      </c>
      <c r="C5" s="6" t="s">
        <v>18</v>
      </c>
      <c r="D5" s="9">
        <v>46024</v>
      </c>
      <c r="E5" s="8"/>
      <c r="F5" s="7">
        <v>0</v>
      </c>
      <c r="G5" s="8" t="s">
        <v>114</v>
      </c>
      <c r="H5" s="9">
        <v>46024</v>
      </c>
      <c r="I5" s="6">
        <f>I4-F5</f>
        <v>3996.88</v>
      </c>
      <c r="J5" s="5"/>
      <c r="K5" s="5"/>
      <c r="L5" s="5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2:25" ht="14.5" customHeight="1" x14ac:dyDescent="0.35">
      <c r="B6" s="13">
        <v>20</v>
      </c>
      <c r="C6" s="6" t="s">
        <v>117</v>
      </c>
      <c r="D6" s="9">
        <v>46024</v>
      </c>
      <c r="E6" s="8"/>
      <c r="F6" s="7">
        <v>0</v>
      </c>
      <c r="G6" s="8" t="s">
        <v>114</v>
      </c>
      <c r="H6" s="9">
        <v>46025</v>
      </c>
      <c r="I6" s="6">
        <f>I5-F6</f>
        <v>3996.88</v>
      </c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2:25" ht="14.5" customHeight="1" x14ac:dyDescent="0.35">
      <c r="B7" s="24" t="s">
        <v>114</v>
      </c>
      <c r="C7" s="6" t="s">
        <v>115</v>
      </c>
      <c r="D7" s="6"/>
      <c r="E7" s="8"/>
      <c r="F7" s="28"/>
      <c r="G7" s="28"/>
      <c r="H7" s="28"/>
      <c r="I7" s="28"/>
      <c r="J7" s="5"/>
      <c r="K7" s="5"/>
      <c r="L7" s="5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2:25" ht="14.5" customHeight="1" x14ac:dyDescent="0.35">
      <c r="B8" s="13"/>
      <c r="C8" s="6"/>
      <c r="D8" s="6"/>
      <c r="E8" s="8"/>
      <c r="F8" s="7"/>
      <c r="G8" s="8"/>
      <c r="H8" s="9"/>
      <c r="I8" s="6"/>
      <c r="J8" s="5"/>
      <c r="K8" s="5"/>
      <c r="L8" s="5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2:25" ht="14.5" customHeight="1" x14ac:dyDescent="0.35">
      <c r="B9" s="6"/>
      <c r="C9" s="6"/>
      <c r="D9" s="6"/>
      <c r="E9" s="8"/>
      <c r="F9" s="7"/>
      <c r="G9" s="8"/>
      <c r="H9" s="9"/>
      <c r="I9" s="6"/>
      <c r="J9" s="5"/>
      <c r="K9" s="5"/>
      <c r="L9" s="18"/>
      <c r="M9" s="5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2:25" x14ac:dyDescent="0.35">
      <c r="B10" s="6"/>
      <c r="C10" s="6"/>
      <c r="D10" s="6"/>
      <c r="E10" s="6"/>
      <c r="F10" s="6"/>
      <c r="G10" s="8"/>
      <c r="H10" s="9"/>
      <c r="I10" s="6"/>
      <c r="J10" s="5"/>
      <c r="K10" s="5"/>
      <c r="L10" s="5"/>
      <c r="M10" s="5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2:25" x14ac:dyDescent="0.35">
      <c r="B11" s="6"/>
      <c r="C11" s="6"/>
      <c r="D11" s="6"/>
      <c r="E11" s="6"/>
      <c r="F11" s="6"/>
      <c r="G11" s="8"/>
      <c r="H11" s="9"/>
      <c r="I11" s="6"/>
      <c r="J11" s="5"/>
      <c r="K11" s="5"/>
      <c r="L11" s="5"/>
      <c r="M11" s="5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2:25" x14ac:dyDescent="0.35">
      <c r="B12" s="6"/>
      <c r="C12" s="6"/>
      <c r="D12" s="6"/>
      <c r="E12" s="6"/>
      <c r="F12" s="6"/>
      <c r="G12" s="8"/>
      <c r="H12" s="9"/>
      <c r="I12" s="6"/>
      <c r="J12" s="5"/>
      <c r="K12" s="5"/>
      <c r="L12" s="5"/>
      <c r="M12" s="5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2:25" x14ac:dyDescent="0.35">
      <c r="B13" s="6"/>
      <c r="C13" s="6"/>
      <c r="D13" s="6"/>
      <c r="E13" s="6"/>
      <c r="F13" s="6"/>
      <c r="G13" s="8"/>
      <c r="H13" s="9"/>
      <c r="I13" s="6"/>
      <c r="J13" s="5"/>
      <c r="K13" s="5"/>
      <c r="L13" s="5"/>
      <c r="M13" s="5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2:25" x14ac:dyDescent="0.35">
      <c r="B14" s="6"/>
      <c r="C14" s="6"/>
      <c r="D14" s="6"/>
      <c r="E14" s="6"/>
      <c r="F14" s="6"/>
      <c r="G14" s="8"/>
      <c r="H14" s="9"/>
      <c r="I14" s="6"/>
      <c r="J14" s="5"/>
      <c r="K14" s="5"/>
      <c r="L14" s="5"/>
      <c r="M14" s="5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2:25" x14ac:dyDescent="0.35">
      <c r="B15" s="6"/>
      <c r="C15" s="6"/>
      <c r="D15" s="6"/>
      <c r="E15" s="6"/>
      <c r="F15" s="6"/>
      <c r="G15" s="8"/>
      <c r="H15" s="9"/>
      <c r="I15" s="6"/>
      <c r="J15" s="5"/>
      <c r="K15" s="5"/>
      <c r="L15" s="5"/>
      <c r="M15" s="5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2:25" x14ac:dyDescent="0.35">
      <c r="B16" s="6"/>
      <c r="C16" s="6"/>
      <c r="D16" s="6"/>
      <c r="E16" s="6"/>
      <c r="F16" s="6"/>
      <c r="G16" s="8"/>
      <c r="H16" s="9"/>
      <c r="I16" s="6"/>
      <c r="J16" s="5"/>
      <c r="K16" s="5"/>
      <c r="L16" s="5"/>
      <c r="M16" s="5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2:25" x14ac:dyDescent="0.35">
      <c r="B17" s="6"/>
      <c r="C17" s="6"/>
      <c r="D17" s="6"/>
      <c r="E17" s="6"/>
      <c r="F17" s="6"/>
      <c r="G17" s="8"/>
      <c r="H17" s="9"/>
      <c r="I17" s="6"/>
      <c r="J17" s="5"/>
      <c r="K17" s="5"/>
      <c r="L17" s="5"/>
      <c r="M17" s="5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2:25" x14ac:dyDescent="0.35">
      <c r="B18" s="6"/>
      <c r="C18" s="6"/>
      <c r="D18" s="6"/>
      <c r="E18" s="6"/>
      <c r="F18" s="6"/>
      <c r="G18" s="8"/>
      <c r="H18" s="9"/>
      <c r="I18" s="6"/>
      <c r="J18" s="27"/>
      <c r="K18" s="5"/>
      <c r="L18" s="5"/>
      <c r="M18" s="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2:25" x14ac:dyDescent="0.35">
      <c r="B19" s="6"/>
      <c r="C19" s="6"/>
      <c r="D19" s="6"/>
      <c r="E19" s="6"/>
      <c r="F19" s="6"/>
      <c r="G19" s="8"/>
      <c r="H19" s="9"/>
      <c r="I19" s="20"/>
      <c r="J19" s="5"/>
      <c r="K19" s="5"/>
      <c r="L19" s="5"/>
      <c r="M19" s="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2:25" x14ac:dyDescent="0.35">
      <c r="B20" s="6" t="s">
        <v>116</v>
      </c>
      <c r="C20" s="6"/>
      <c r="D20" s="6"/>
      <c r="E20" s="6"/>
      <c r="F20" s="14">
        <f>SUM(F4:F19)</f>
        <v>30</v>
      </c>
      <c r="G20" s="6"/>
      <c r="H20" s="6"/>
      <c r="I20" s="22">
        <f>E4-F20</f>
        <v>3996.88</v>
      </c>
      <c r="J20" s="25" t="s">
        <v>110</v>
      </c>
      <c r="K20" s="25"/>
      <c r="L20" s="25"/>
      <c r="M20" s="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2:25" x14ac:dyDescent="0.35">
      <c r="B21" s="6" t="s">
        <v>10</v>
      </c>
      <c r="C21" s="6"/>
      <c r="D21" s="6"/>
      <c r="E21" s="13">
        <f>SUM(F20:I20)</f>
        <v>4026.88</v>
      </c>
      <c r="F21" s="6"/>
      <c r="G21" s="6"/>
      <c r="H21" s="6"/>
      <c r="I21" s="21"/>
      <c r="J21" s="5"/>
      <c r="K21" s="5"/>
      <c r="L21" s="5"/>
      <c r="M21" s="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2:25" x14ac:dyDescent="0.3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2:25" x14ac:dyDescent="0.3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2:25" x14ac:dyDescent="0.35">
      <c r="B24" s="1"/>
      <c r="C24" s="1"/>
      <c r="D24" s="1"/>
      <c r="E24" s="1"/>
      <c r="F24" s="1" t="s">
        <v>53</v>
      </c>
      <c r="G24" s="1"/>
      <c r="H24" s="1"/>
      <c r="I24" s="1">
        <v>1533.03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2:25" x14ac:dyDescent="0.3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2:25" x14ac:dyDescent="0.3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2:25" x14ac:dyDescent="0.3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2:25" x14ac:dyDescent="0.3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2:25" x14ac:dyDescent="0.3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2:25" x14ac:dyDescent="0.3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2:25" x14ac:dyDescent="0.3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2:25" x14ac:dyDescent="0.3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2:25" x14ac:dyDescent="0.3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2:25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2:25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2:25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2:25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2:25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2:25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2:25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2:25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2:25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2:25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2:25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2:25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2:25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2:25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2:25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2:25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2:25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2:25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2:25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2:25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2:25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2:25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25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2:25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2:25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2:25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2:25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2:25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2:25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2:25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2:25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25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2:25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2:25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2:25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2:25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2:25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2:25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2:25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2:25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25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2:25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2:25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2:25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2:25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2:25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2:25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2:25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2:25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2:25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2:25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2:25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2:25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2:25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2:25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2:25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2:25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2:25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2:25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2:25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25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</sheetData>
  <mergeCells count="2">
    <mergeCell ref="B2:I2"/>
    <mergeCell ref="J20:L20"/>
  </mergeCells>
  <pageMargins left="0.7" right="0.7" top="0.75" bottom="0.75" header="0.3" footer="0.3"/>
  <pageSetup paperSize="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F303-38A9-4871-A42F-526357F8CC3F}">
  <dimension ref="B2:F8"/>
  <sheetViews>
    <sheetView tabSelected="1" topLeftCell="A3" workbookViewId="0">
      <selection activeCell="E13" sqref="E13"/>
    </sheetView>
  </sheetViews>
  <sheetFormatPr baseColWidth="10" defaultRowHeight="14.5" x14ac:dyDescent="0.35"/>
  <cols>
    <col min="1" max="1" width="2.81640625" customWidth="1"/>
    <col min="2" max="3" width="24.1796875" customWidth="1"/>
    <col min="4" max="5" width="16.08984375" customWidth="1"/>
    <col min="6" max="6" width="30.54296875" customWidth="1"/>
  </cols>
  <sheetData>
    <row r="2" spans="2:6" x14ac:dyDescent="0.35">
      <c r="B2" s="26"/>
      <c r="C2" s="26"/>
      <c r="D2" s="26"/>
      <c r="E2" s="26"/>
      <c r="F2" s="26"/>
    </row>
    <row r="3" spans="2:6" ht="28" customHeight="1" x14ac:dyDescent="0.35">
      <c r="B3" s="29" t="s">
        <v>87</v>
      </c>
      <c r="C3" s="30" t="s">
        <v>121</v>
      </c>
      <c r="D3" s="29" t="s">
        <v>123</v>
      </c>
      <c r="E3" s="29" t="s">
        <v>120</v>
      </c>
      <c r="F3" s="30" t="s">
        <v>86</v>
      </c>
    </row>
    <row r="4" spans="2:6" ht="15.5" customHeight="1" x14ac:dyDescent="0.35">
      <c r="B4" s="6" t="s">
        <v>119</v>
      </c>
      <c r="C4" s="8">
        <v>3000</v>
      </c>
      <c r="D4" s="9"/>
      <c r="E4" s="9">
        <v>46032</v>
      </c>
      <c r="F4" s="8" t="s">
        <v>114</v>
      </c>
    </row>
    <row r="5" spans="2:6" x14ac:dyDescent="0.35">
      <c r="B5" s="6" t="s">
        <v>122</v>
      </c>
      <c r="C5" s="7">
        <v>2000</v>
      </c>
      <c r="D5" s="7">
        <f>C4+C5</f>
        <v>5000</v>
      </c>
      <c r="E5" s="9">
        <v>46037</v>
      </c>
      <c r="F5" s="8" t="s">
        <v>114</v>
      </c>
    </row>
    <row r="6" spans="2:6" x14ac:dyDescent="0.35">
      <c r="B6" s="6" t="s">
        <v>124</v>
      </c>
      <c r="C6" s="7">
        <v>600</v>
      </c>
      <c r="D6" s="7">
        <f>C6+D5</f>
        <v>5600</v>
      </c>
      <c r="E6" s="9">
        <v>46052</v>
      </c>
      <c r="F6" s="8" t="s">
        <v>114</v>
      </c>
    </row>
    <row r="7" spans="2:6" x14ac:dyDescent="0.35">
      <c r="B7" s="6" t="s">
        <v>125</v>
      </c>
      <c r="C7" s="6">
        <f>SUM(C4:C6)</f>
        <v>5600</v>
      </c>
      <c r="D7" s="6"/>
      <c r="E7" s="6"/>
      <c r="F7" s="28"/>
    </row>
    <row r="8" spans="2:6" x14ac:dyDescent="0.35">
      <c r="B8" s="6"/>
      <c r="C8" s="6"/>
      <c r="D8" s="6"/>
      <c r="E8" s="6"/>
      <c r="F8" s="8"/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Septie2025</vt:lpstr>
      <vt:lpstr>Octub2025</vt:lpstr>
      <vt:lpstr>Noviem2025</vt:lpstr>
      <vt:lpstr>Diciem2025</vt:lpstr>
      <vt:lpstr>Ene2026</vt:lpstr>
      <vt:lpstr>Presupuesto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Genry Luis</dc:creator>
  <cp:lastModifiedBy>Genry Uwualdo Luis Alvarado</cp:lastModifiedBy>
  <dcterms:created xsi:type="dcterms:W3CDTF">2015-06-05T18:19:34Z</dcterms:created>
  <dcterms:modified xsi:type="dcterms:W3CDTF">2026-01-02T18:58:28Z</dcterms:modified>
</cp:coreProperties>
</file>