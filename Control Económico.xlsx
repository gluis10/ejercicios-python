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297CAC81-4D0D-4462-BEA4-8D128C562F95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1" l="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30" i="8"/>
  <c r="E4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D4" i="7"/>
  <c r="E31" i="7"/>
  <c r="E36" i="4"/>
  <c r="D4" i="4"/>
  <c r="E40" i="3"/>
  <c r="D4" i="3"/>
  <c r="E18" i="1"/>
  <c r="D4" i="1"/>
  <c r="H31" i="7" l="1"/>
  <c r="D32" i="7" s="1"/>
  <c r="I30" i="8"/>
  <c r="E31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<sst xmlns="http://schemas.openxmlformats.org/spreadsheetml/2006/main" count="245" uniqueCount="152">
  <si>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</si>
  <si>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</si>
  <si>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</si>
  <si>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</si>
  <si>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</si>
  <si>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</si>
  <si>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</si>
  <si>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</si>
  <si>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</si>
  <si>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</si>
  <si>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</si>
  <si>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</si>
  <si>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</si>
  <si>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</si>
  <si>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</si>
  <si>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</si>
  <si>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</si>
  <si>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</si>
  <si>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</si>
  <si>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</si>
  <si>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</si>
  <si>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</si>
  <si>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</si>
  <si>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</si>
  <si>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</si>
  <si>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</si>
  <si>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</si>
  <si>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</si>
  <si>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</si>
  <si>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</si>
  <si>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</si>
  <si>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</si>
  <si>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</si>
  <si>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</si>
  <si>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</si>
  <si>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</si>
  <si>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</si>
  <si>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</si>
  <si>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</si>
  <si>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</si>
  <si>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</si>
  <si>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</si>
  <si>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</si>
  <si>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</si>
  <si>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</si>
  <si>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</si>
  <si>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</si>
  <si>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</si>
  <si>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</si>
  <si>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</si>
  <si>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</si>
  <si>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</si>
  <si>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</si>
  <si>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</si>
  <si>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</si>
  <si>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</si>
  <si>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</si>
  <si>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</si>
  <si>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</si>
  <si>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</si>
  <si>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</si>
  <si>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</si>
  <si>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</si>
  <si>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</si>
  <si>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</si>
  <si>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</si>
  <si>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</si>
  <si>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</si>
  <si>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</si>
  <si>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</si>
  <si>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</si>
  <si>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</si>
  <si>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</si>
  <si>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</si>
  <si>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</si>
  <si>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</si>
  <si>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</si>
  <si>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</si>
  <si>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</si>
  <si>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</si>
  <si>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</si>
  <si>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</si>
  <si>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</si>
  <si>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</si>
  <si>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</si>
  <si>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</si>
  <si>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</si>
  <si>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</si>
  <si>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</si>
  <si>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</si>
  <si>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</si>
  <si>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</si>
  <si>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</si>
  <si>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</si>
  <si>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</si>
  <si>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</si>
  <si>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</si>
  <si>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</si>
  <si>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</si>
  <si>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</si>
  <si>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</si>
  <si>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</si>
  <si>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</si>
  <si>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</si>
  <si>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</si>
  <si>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</si>
  <si>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</si>
  <si>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</si>
  <si>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</si>
  <si>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</si>
  <si>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</si>
  <si>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</si>
  <si>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</si>
  <si>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</si>
  <si>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</si>
  <si>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</si>
  <si>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</si>
  <si>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</si>
  <si>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</si>
  <si>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</si>
  <si>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</si>
  <si>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</si>
  <si>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</si>
  <si>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</si>
  <si>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</si>
  <si>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</si>
  <si>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</si>
  <si>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</si>
  <si>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</si>
  <si>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</si>
  <si>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</si>
  <si>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</si>
  <si>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</si>
  <si>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</si>
  <si>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</si>
  <si>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</si>
  <si>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</si>
  <si>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</si>
  <si>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</si>
  <si>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</si>
  <si>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</si>
  <si>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</si>
  <si>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</si>
  <si>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</si>
  <si>
    <t>Compras de higiene personal</t>
  </si>
  <si>
    <t xml:space="preserve">Pendiente </t>
  </si>
  <si>
    <t>Gasolina (Vier, Sab, Dom)</t>
  </si>
  <si>
    <t>Piezas de pollo (Almuerzo)</t>
  </si>
  <si>
    <t>Renovación de Beca</t>
  </si>
  <si>
    <t>Pago matrícula de Universidad</t>
  </si>
  <si>
    <t>Super del Barrio</t>
  </si>
  <si>
    <t>Netflix del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</si>
</sst>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3" t="s">
        <v>0</v>
      </c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4" t="s">
        <v>110</v>
      </c>
      <c r="J31" s="34"/>
      <c r="K31" s="3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104"/>
  <sheetViews>
    <sheetView tabSelected="1" topLeftCell="A15" workbookViewId="0">
      <selection activeCell="G26" sqref="G26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6162.57</v>
      </c>
      <c r="F4" s="8">
        <v>30</v>
      </c>
      <c r="G4" s="8" t="s">
        <v>107</v>
      </c>
      <c r="H4" s="9">
        <v>46023</v>
      </c>
      <c r="I4" s="6">
        <f>(E4-F4)</f>
        <v>6132.57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5982.57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5782.57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>
        <v>2135.69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5732.57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4" si="0">I7-F8</f>
        <v>5605.57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5605.57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5605.57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5570.57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5520.57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5490.57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5390.57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>I14-F15</f>
        <v>5340.57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145</v>
      </c>
      <c r="G16" s="8" t="s">
        <v>144</v>
      </c>
      <c r="H16" s="9">
        <v>46028</v>
      </c>
      <c r="I16" s="6">
        <f>I15-F16</f>
        <v>5195.57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1">
        <v>50</v>
      </c>
      <c r="G17" s="8" t="s">
        <v>145</v>
      </c>
      <c r="H17" s="9">
        <v>46028</v>
      </c>
      <c r="I17" s="6">
        <f t="shared" ref="I17:I27" si="1">I16-F17</f>
        <v>5145.57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32">
        <v>20</v>
      </c>
      <c r="G18" s="8" t="s">
        <v>146</v>
      </c>
      <c r="H18" s="9">
        <v>46031</v>
      </c>
      <c r="I18" s="6">
        <f t="shared" si="1"/>
        <v>5125.57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32">
        <v>30</v>
      </c>
      <c r="G19" s="8" t="s">
        <v>147</v>
      </c>
      <c r="H19" s="9">
        <v>46032</v>
      </c>
      <c r="I19" s="6">
        <f t="shared" si="1"/>
        <v>5095.57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32">
        <v>100</v>
      </c>
      <c r="G20" s="8" t="s">
        <v>37</v>
      </c>
      <c r="H20" s="9">
        <v>46032</v>
      </c>
      <c r="I20" s="6">
        <f t="shared" si="1"/>
        <v>4995.57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32">
        <v>50</v>
      </c>
      <c r="G21" s="8" t="s">
        <v>107</v>
      </c>
      <c r="H21" s="9">
        <v>46033</v>
      </c>
      <c r="I21" s="6">
        <f t="shared" si="1"/>
        <v>4945.57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32">
        <v>150</v>
      </c>
      <c r="G22" s="8" t="s">
        <v>148</v>
      </c>
      <c r="H22" s="9">
        <v>46034</v>
      </c>
      <c r="I22" s="6">
        <f t="shared" si="1"/>
        <v>4795.57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32">
        <v>2100</v>
      </c>
      <c r="G23" s="8" t="s">
        <v>149</v>
      </c>
      <c r="H23" s="9">
        <v>46034</v>
      </c>
      <c r="I23" s="6">
        <f t="shared" si="1"/>
        <v>2695.5699999999997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40</v>
      </c>
      <c r="G24" s="8" t="s">
        <v>70</v>
      </c>
      <c r="H24" s="9">
        <v>46034</v>
      </c>
      <c r="I24" s="6">
        <f t="shared" si="1"/>
        <v>2655.5699999999997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>
        <v>100</v>
      </c>
      <c r="G25" s="8" t="s">
        <v>37</v>
      </c>
      <c r="H25" s="9">
        <v>46035</v>
      </c>
      <c r="I25" s="6">
        <f t="shared" si="1"/>
        <v>2555.5699999999997</v>
      </c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/>
      <c r="C26" s="6"/>
      <c r="D26" s="6"/>
      <c r="E26" s="6"/>
      <c r="F26" s="6">
        <v>60</v>
      </c>
      <c r="G26" s="8" t="s">
        <v>150</v>
      </c>
      <c r="H26" s="9">
        <v>46035</v>
      </c>
      <c r="I26" s="6">
        <f t="shared" si="1"/>
        <v>2495.5699999999997</v>
      </c>
      <c r="J26" s="5"/>
      <c r="K26" s="5"/>
      <c r="L26" s="5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/>
      <c r="C27" s="6"/>
      <c r="D27" s="6"/>
      <c r="E27" s="6"/>
      <c r="F27" s="6">
        <v>70</v>
      </c>
      <c r="G27" s="8" t="s">
        <v>151</v>
      </c>
      <c r="H27" s="9">
        <v>46035</v>
      </c>
      <c r="I27" s="6">
        <f t="shared" si="1"/>
        <v>2425.5699999999997</v>
      </c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6"/>
      <c r="C28" s="6"/>
      <c r="D28" s="6"/>
      <c r="E28" s="6"/>
      <c r="F28" s="6"/>
      <c r="G28" s="8"/>
      <c r="H28" s="9"/>
      <c r="I28" s="20"/>
      <c r="J28" s="5"/>
      <c r="K28" s="5"/>
      <c r="L28" s="5"/>
      <c r="M28" s="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6"/>
      <c r="C29" s="6"/>
      <c r="D29" s="6"/>
      <c r="E29" s="6"/>
      <c r="F29" s="6"/>
      <c r="G29" s="25"/>
      <c r="H29" s="9"/>
      <c r="I29" s="20"/>
      <c r="J29" s="5"/>
      <c r="K29" s="5"/>
      <c r="L29" s="5"/>
      <c r="M29" s="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6" t="s">
        <v>116</v>
      </c>
      <c r="C30" s="6"/>
      <c r="D30" s="6"/>
      <c r="E30" s="6"/>
      <c r="F30" s="14">
        <f>SUM(F4:F29)</f>
        <v>3737</v>
      </c>
      <c r="G30" s="8"/>
      <c r="H30" s="6"/>
      <c r="I30" s="22">
        <f>E4-F30</f>
        <v>2425.5699999999997</v>
      </c>
      <c r="J30" s="34" t="s">
        <v>110</v>
      </c>
      <c r="K30" s="34"/>
      <c r="L30" s="34"/>
      <c r="M30" s="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6" t="s">
        <v>10</v>
      </c>
      <c r="C31" s="6"/>
      <c r="D31" s="6"/>
      <c r="E31" s="13">
        <f>SUM(F30:I30)</f>
        <v>6162.57</v>
      </c>
      <c r="F31" s="6"/>
      <c r="G31" s="6"/>
      <c r="H31" s="6"/>
      <c r="I31" s="21"/>
      <c r="J31" s="5"/>
      <c r="K31" s="5"/>
      <c r="L31" s="5"/>
      <c r="M31" s="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1"/>
      <c r="C32" s="1"/>
      <c r="D32" s="1"/>
      <c r="E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1"/>
      <c r="C33" s="1"/>
      <c r="D33" s="1"/>
      <c r="E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1"/>
      <c r="C34" s="1"/>
      <c r="D34" s="1"/>
      <c r="E34" s="1"/>
      <c r="F34" s="1" t="s">
        <v>53</v>
      </c>
      <c r="G34" s="1"/>
      <c r="H34" s="1"/>
      <c r="I34" s="1">
        <v>1533.03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1"/>
      <c r="C35" s="1"/>
      <c r="D35" s="1"/>
      <c r="E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1"/>
      <c r="C36" s="1"/>
      <c r="D36" s="1"/>
      <c r="E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x14ac:dyDescent="0.3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x14ac:dyDescent="0.3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x14ac:dyDescent="0.3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x14ac:dyDescent="0.3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</sheetData>
  <mergeCells count="2">
    <mergeCell ref="B2:I2"/>
    <mergeCell ref="J30:L30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3"/>
      <c r="C2" s="33"/>
      <c r="D2" s="33"/>
      <c r="E2" s="33"/>
      <c r="F2" s="33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5" t="s">
        <v>134</v>
      </c>
      <c r="C2" s="35"/>
      <c r="D2" s="35"/>
      <c r="E2" s="35"/>
      <c r="F2" s="35"/>
      <c r="G2" s="35"/>
      <c r="H2" s="35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2026-01-15T23:30:18Z</dcterms:modified>
</cp:coreProperties>
</file>